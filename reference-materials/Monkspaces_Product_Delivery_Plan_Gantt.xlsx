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Weekly Plan" sheetId="4" state="visible" r:id="rId4"/>
    <sheet xmlns:r="http://schemas.openxmlformats.org/officeDocument/2006/relationships" name="Data &amp; Integrations" sheetId="5" state="visible" r:id="rId5"/>
    <sheet xmlns:r="http://schemas.openxmlformats.org/officeDocument/2006/relationships" name="Risks &amp; Decisions" sheetId="6" state="visible" r:id="rId6"/>
    <sheet xmlns:r="http://schemas.openxmlformats.org/officeDocument/2006/relationships" name="Testing" sheetId="7" state="visible" r:id="rId7"/>
    <sheet xmlns:r="http://schemas.openxmlformats.org/officeDocument/2006/relationships" name="Tech Stack" sheetId="8" state="visible" r:id="rId8"/>
  </sheets>
  <definedNames>
    <definedName name="_xlnm._FilterDatabase" localSheetId="1" hidden="1">'Tasks'!$A$4:$N$36</definedName>
    <definedName name="_xlnm._FilterDatabase" localSheetId="2" hidden="1">'Gantt'!$A$4:$O$36</definedName>
    <definedName name="_xlnm._FilterDatabase" localSheetId="4" hidden="1">'Data &amp; Integrations'!$A$4:$J$14</definedName>
    <definedName name="_xlnm._FilterDatabase" localSheetId="5" hidden="1">'Risks &amp; Decisions'!$A$4:$I$14</definedName>
    <definedName name="_xlnm._FilterDatabase" localSheetId="6" hidden="1">'Testing'!$A$4:$J$19</definedName>
    <definedName name="_xlnm._FilterDatabase" localSheetId="7" hidden="1">'Tech Stack'!$A$4:$F$16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dd-mmm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404040"/>
      <sz val="10"/>
    </font>
    <font>
      <b val="1"/>
      <color rgb="00404040"/>
    </font>
    <font>
      <b val="1"/>
      <color rgb="00FFFFFF"/>
    </font>
    <font>
      <i val="1"/>
      <color rgb="00404040"/>
      <sz val="9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8FBFD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F4F8FB"/>
      </patternFill>
    </fill>
    <fill>
      <patternFill patternType="solid">
        <fgColor rgb="005B9BD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9" fontId="0" fillId="4" borderId="0" applyAlignment="1" pivotButton="0" quotePrefix="0" xfId="0">
      <alignment vertical="center"/>
    </xf>
    <xf numFmtId="0" fontId="4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  <xf numFmtId="165" fontId="0" fillId="7" borderId="0" applyAlignment="1" pivotButton="0" quotePrefix="0" xfId="0">
      <alignment vertical="top"/>
    </xf>
    <xf numFmtId="9" fontId="0" fillId="7" borderId="0" applyAlignment="1" pivotButton="0" quotePrefix="0" xfId="0">
      <alignment vertical="top"/>
    </xf>
    <xf numFmtId="166" fontId="5" fillId="0" borderId="0" applyAlignment="1" pivotButton="0" quotePrefix="0" xfId="0">
      <alignment horizontal="center"/>
    </xf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166" fontId="0" fillId="0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 vertical="center"/>
    </xf>
    <xf numFmtId="166" fontId="0" fillId="7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7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skRegister" displayName="TaskRegister" ref="A4:N36" headerRowCount="1">
  <autoFilter ref="A4:N36"/>
  <tableColumns count="14">
    <tableColumn id="1" name="Task ID"/>
    <tableColumn id="2" name="Workstream"/>
    <tableColumn id="3" name="Phase"/>
    <tableColumn id="4" name="Task / Deliverable"/>
    <tableColumn id="5" name="Acceptance Criteria / Definition of Done"/>
    <tableColumn id="6" name="Owner Role"/>
    <tableColumn id="7" name="Start Date"/>
    <tableColumn id="8" name="End Date"/>
    <tableColumn id="9" name="Status"/>
    <tableColumn id="10" name="% Complete"/>
    <tableColumn id="11" name="Dependency / Client Input"/>
    <tableColumn id="12" name="Priority"/>
    <tableColumn id="13" name="Effort (person-days)"/>
    <tableColumn id="14" name="Notes / Risk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" customWidth="1" min="3" max="3"/>
    <col width="29" customWidth="1" min="4" max="4"/>
    <col width="17" customWidth="1" min="5" max="5"/>
    <col width="47" customWidth="1" min="6" max="6"/>
    <col width="16" customWidth="1" min="7" max="7"/>
    <col width="16" customWidth="1" min="8" max="8"/>
  </cols>
  <sheetData>
    <row r="1" ht="30" customHeight="1">
      <c r="A1" s="1" t="inlineStr">
        <is>
          <t>MONKSPACES | PRODUCT DELIVERY DASHBOARD</t>
        </is>
      </c>
    </row>
    <row r="2" ht="32" customHeight="1">
      <c r="A2" s="2" t="inlineStr">
        <is>
          <t>Editable project plan • baseline starts 26-Oct-2026 • adjust dates, owners, status and % complete in the Tasks sheet. Timeline/Gantt updates from task dates.</t>
        </is>
      </c>
    </row>
    <row r="3"/>
    <row r="4">
      <c r="A4" s="3" t="inlineStr">
        <is>
          <t>Project start date</t>
        </is>
      </c>
      <c r="B4" s="4" t="n">
        <v>46321</v>
      </c>
      <c r="D4" s="5" t="inlineStr">
        <is>
          <t>Milestone</t>
        </is>
      </c>
      <c r="E4" s="5" t="inlineStr">
        <is>
          <t>Target</t>
        </is>
      </c>
      <c r="F4" s="5" t="inlineStr">
        <is>
          <t>Exit criteria</t>
        </is>
      </c>
    </row>
    <row r="5">
      <c r="A5" s="3" t="inlineStr">
        <is>
          <t>Planned horizon (weeks)</t>
        </is>
      </c>
      <c r="B5" s="6" t="n">
        <v>8</v>
      </c>
      <c r="D5" s="7" t="inlineStr">
        <is>
          <t>M1: Scope &amp; data contract</t>
        </is>
      </c>
      <c r="E5" s="8" t="n">
        <v>46332</v>
      </c>
      <c r="F5" s="7" t="inlineStr">
        <is>
          <t>MVP scope, sample data and API contracts agreed</t>
        </is>
      </c>
    </row>
    <row r="6">
      <c r="A6" s="3" t="inlineStr">
        <is>
          <t>Total tasks</t>
        </is>
      </c>
      <c r="B6" s="6">
        <f>COUNTA(Tasks!A5:A200)</f>
        <v/>
      </c>
      <c r="D6" s="9" t="inlineStr">
        <is>
          <t>M2: First end-to-end slice</t>
        </is>
      </c>
      <c r="E6" s="10" t="n">
        <v>46339</v>
      </c>
      <c r="F6" s="9" t="inlineStr">
        <is>
          <t>CSV → validation → DB → API → Angular UI</t>
        </is>
      </c>
    </row>
    <row r="7">
      <c r="A7" s="3" t="inlineStr">
        <is>
          <t>Completed tasks</t>
        </is>
      </c>
      <c r="B7" s="6">
        <f>COUNTIF(Tasks!I5:I200,"Done")</f>
        <v/>
      </c>
      <c r="D7" s="7" t="inlineStr">
        <is>
          <t>M3: Quality workflow</t>
        </is>
      </c>
      <c r="E7" s="8" t="n">
        <v>46353</v>
      </c>
      <c r="F7" s="7" t="inlineStr">
        <is>
          <t>Issue → correction → approval → revalidation + audit</t>
        </is>
      </c>
    </row>
    <row r="8">
      <c r="A8" s="3" t="inlineStr">
        <is>
          <t>In progress</t>
        </is>
      </c>
      <c r="B8" s="6">
        <f>COUNTIF(Tasks!I5:I200,"In Progress")</f>
        <v/>
      </c>
      <c r="D8" s="9" t="inlineStr">
        <is>
          <t>M4: EPR engine</t>
        </is>
      </c>
      <c r="E8" s="10" t="n">
        <v>46367</v>
      </c>
      <c r="F8" s="9" t="inlineStr">
        <is>
          <t>One jurisdiction; reference cases reconcile</t>
        </is>
      </c>
    </row>
    <row r="9">
      <c r="A9" s="3" t="inlineStr">
        <is>
          <t>Blocked</t>
        </is>
      </c>
      <c r="B9" s="6">
        <f>COUNTIF(Tasks!I5:I200,"Blocked")</f>
        <v/>
      </c>
      <c r="D9" s="7" t="inlineStr">
        <is>
          <t>M5: Demo / pilot decision</t>
        </is>
      </c>
      <c r="E9" s="8" t="n">
        <v>46374</v>
      </c>
      <c r="F9" s="7" t="inlineStr">
        <is>
          <t>Regression, security checks, demo and go/no-go</t>
        </is>
      </c>
    </row>
    <row r="10">
      <c r="A10" s="3" t="inlineStr">
        <is>
          <t>Overall completion</t>
        </is>
      </c>
      <c r="B10" s="11">
        <f>IFERROR(AVERAGE(Tasks!J5:J200),0)</f>
        <v/>
      </c>
    </row>
    <row r="11"/>
    <row r="12">
      <c r="A12" s="12" t="inlineStr">
        <is>
          <t>How to use this workbook</t>
        </is>
      </c>
      <c r="D12" s="5" t="inlineStr">
        <is>
          <t>Planning note</t>
        </is>
      </c>
    </row>
    <row r="13">
      <c r="A13" s="13" t="inlineStr">
        <is>
          <t>1) Update task dates/owners/status/% complete in Tasks. 2) Review Gantt. 3) Track incoming client files in Data &amp; Integrations. 4) Log defects and evidence in Testing. 5) Review open decisions every week.</t>
        </is>
      </c>
      <c r="D13" s="14" t="inlineStr">
        <is>
          <t>This is a planning baseline, not a delivery commitment. Eight weeks targets a focused EPR proof-of-value only; live integrations depend on client API access, documentation, permissions and data quality.</t>
        </is>
      </c>
    </row>
    <row r="14"/>
    <row r="15"/>
    <row r="16"/>
  </sheetData>
  <mergeCells count="4">
    <mergeCell ref="A13:B16"/>
    <mergeCell ref="A2:H2"/>
    <mergeCell ref="D13:H15"/>
    <mergeCell ref="A1:H1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42" customWidth="1" min="4" max="4"/>
    <col width="55" customWidth="1" min="5" max="5"/>
    <col width="27" customWidth="1" min="6" max="6"/>
    <col width="14" customWidth="1" min="7" max="7"/>
    <col width="14" customWidth="1" min="8" max="8"/>
    <col width="16" customWidth="1" min="9" max="9"/>
    <col width="13" customWidth="1" min="10" max="10"/>
    <col width="38" customWidth="1" min="11" max="11"/>
    <col width="12" customWidth="1" min="12" max="12"/>
    <col width="19" customWidth="1" min="13" max="13"/>
    <col width="48" customWidth="1" min="14" max="14"/>
  </cols>
  <sheetData>
    <row r="1" ht="30" customHeight="1">
      <c r="A1" s="1" t="inlineStr">
        <is>
          <t>TASK REGISTER</t>
        </is>
      </c>
    </row>
    <row r="2" ht="32" customHeight="1">
      <c r="A2" s="2" t="inlineStr">
        <is>
          <t>Edit start/end dates, owner, status and % complete. Gantt and dashboard are driven by this sheet. Use dates as Excel dates.</t>
        </is>
      </c>
    </row>
    <row r="3"/>
    <row r="4" ht="32" customHeight="1">
      <c r="A4" s="15" t="inlineStr">
        <is>
          <t>Task ID</t>
        </is>
      </c>
      <c r="B4" s="15" t="inlineStr">
        <is>
          <t>Workstream</t>
        </is>
      </c>
      <c r="C4" s="15" t="inlineStr">
        <is>
          <t>Phase</t>
        </is>
      </c>
      <c r="D4" s="15" t="inlineStr">
        <is>
          <t>Task / Deliverable</t>
        </is>
      </c>
      <c r="E4" s="15" t="inlineStr">
        <is>
          <t>Acceptance Criteria / Definition of Done</t>
        </is>
      </c>
      <c r="F4" s="15" t="inlineStr">
        <is>
          <t>Owner Role</t>
        </is>
      </c>
      <c r="G4" s="15" t="inlineStr">
        <is>
          <t>Start Date</t>
        </is>
      </c>
      <c r="H4" s="15" t="inlineStr">
        <is>
          <t>End Date</t>
        </is>
      </c>
      <c r="I4" s="15" t="inlineStr">
        <is>
          <t>Status</t>
        </is>
      </c>
      <c r="J4" s="15" t="inlineStr">
        <is>
          <t>% Complete</t>
        </is>
      </c>
      <c r="K4" s="15" t="inlineStr">
        <is>
          <t>Dependency / Client Input</t>
        </is>
      </c>
      <c r="L4" s="15" t="inlineStr">
        <is>
          <t>Priority</t>
        </is>
      </c>
      <c r="M4" s="15" t="inlineStr">
        <is>
          <t>Effort (person-days)</t>
        </is>
      </c>
      <c r="N4" s="15" t="inlineStr">
        <is>
          <t>Notes / Risks</t>
        </is>
      </c>
    </row>
    <row r="5">
      <c r="A5" s="16" t="inlineStr">
        <is>
          <t>T001</t>
        </is>
      </c>
      <c r="B5" s="16" t="inlineStr">
        <is>
          <t>Architecture &amp; Product</t>
        </is>
      </c>
      <c r="C5" s="16" t="inlineStr">
        <is>
          <t>Day 0</t>
        </is>
      </c>
      <c r="D5" s="17" t="inlineStr">
        <is>
          <t>Confirm MVP scope and first EPR jurisdiction</t>
        </is>
      </c>
      <c r="E5" s="17" t="inlineStr">
        <is>
          <t>Scope, exclusions, target jurisdiction and demo outcome documented</t>
        </is>
      </c>
      <c r="F5" s="16" t="inlineStr">
        <is>
          <t>Solution Architect / Product Owner</t>
        </is>
      </c>
      <c r="G5" s="18" t="n">
        <v>46321</v>
      </c>
      <c r="H5" s="18" t="n">
        <v>46322</v>
      </c>
      <c r="I5" s="16" t="inlineStr">
        <is>
          <t>Not Started</t>
        </is>
      </c>
      <c r="J5" s="19" t="n">
        <v>0</v>
      </c>
      <c r="K5" s="17" t="inlineStr">
        <is>
          <t>Client decision on jurisdiction</t>
        </is>
      </c>
      <c r="L5" s="16" t="inlineStr">
        <is>
          <t>Critical</t>
        </is>
      </c>
      <c r="M5" s="16" t="n">
        <v>2</v>
      </c>
      <c r="N5" s="17" t="inlineStr">
        <is>
          <t>Do not implement jurisdiction-specific fee logic before rules are confirmed.</t>
        </is>
      </c>
    </row>
    <row r="6">
      <c r="A6" s="20" t="inlineStr">
        <is>
          <t>T002</t>
        </is>
      </c>
      <c r="B6" s="20" t="inlineStr">
        <is>
          <t>Client Data &amp; Integrations</t>
        </is>
      </c>
      <c r="C6" s="20" t="inlineStr">
        <is>
          <t>Day 0</t>
        </is>
      </c>
      <c r="D6" s="21" t="inlineStr">
        <is>
          <t>Request sample datasets and data dictionary</t>
        </is>
      </c>
      <c r="E6" s="21" t="inlineStr">
        <is>
          <t>Sample product, packaging, sales-by-market files and field definitions received or request tracked</t>
        </is>
      </c>
      <c r="F6" s="20" t="inlineStr">
        <is>
          <t>Solution Architect / Client IT</t>
        </is>
      </c>
      <c r="G6" s="22" t="n">
        <v>46321</v>
      </c>
      <c r="H6" s="22" t="n">
        <v>46323</v>
      </c>
      <c r="I6" s="20" t="inlineStr">
        <is>
          <t>Not Started</t>
        </is>
      </c>
      <c r="J6" s="23" t="n">
        <v>0</v>
      </c>
      <c r="K6" s="21" t="inlineStr">
        <is>
          <t>Client data owner identified</t>
        </is>
      </c>
      <c r="L6" s="20" t="inlineStr">
        <is>
          <t>Critical</t>
        </is>
      </c>
      <c r="M6" s="20" t="n">
        <v>2</v>
      </c>
      <c r="N6" s="21" t="inlineStr">
        <is>
          <t>Anonymized sample data is sufficient to start.</t>
        </is>
      </c>
    </row>
    <row r="7">
      <c r="A7" s="16" t="inlineStr">
        <is>
          <t>T003</t>
        </is>
      </c>
      <c r="B7" s="16" t="inlineStr">
        <is>
          <t>Client Data &amp; Integrations</t>
        </is>
      </c>
      <c r="C7" s="16" t="inlineStr">
        <is>
          <t>Day 0</t>
        </is>
      </c>
      <c r="D7" s="17" t="inlineStr">
        <is>
          <t>Request ERP/PLM/Snowflake API documentation and sandbox access</t>
        </is>
      </c>
      <c r="E7" s="17" t="inlineStr">
        <is>
          <t>API docs, auth method, rate limits, test credentials/access process and owner identified</t>
        </is>
      </c>
      <c r="F7" s="16" t="inlineStr">
        <is>
          <t>Integration Engineer / Client IT</t>
        </is>
      </c>
      <c r="G7" s="18" t="n">
        <v>46321</v>
      </c>
      <c r="H7" s="18" t="n">
        <v>46332</v>
      </c>
      <c r="I7" s="16" t="inlineStr">
        <is>
          <t>Not Started</t>
        </is>
      </c>
      <c r="J7" s="19" t="n">
        <v>0</v>
      </c>
      <c r="K7" s="17" t="inlineStr">
        <is>
          <t>Client IT and source-system vendors</t>
        </is>
      </c>
      <c r="L7" s="16" t="inlineStr">
        <is>
          <t>High</t>
        </is>
      </c>
      <c r="M7" s="16" t="n">
        <v>4</v>
      </c>
      <c r="N7" s="17" t="inlineStr">
        <is>
          <t>If access is delayed, continue using CSV and mock API responses.</t>
        </is>
      </c>
    </row>
    <row r="8">
      <c r="A8" s="20" t="inlineStr">
        <is>
          <t>T004</t>
        </is>
      </c>
      <c r="B8" s="20" t="inlineStr">
        <is>
          <t>Architecture &amp; Product</t>
        </is>
      </c>
      <c r="C8" s="20" t="inlineStr">
        <is>
          <t>Week 1</t>
        </is>
      </c>
      <c r="D8" s="21" t="inlineStr">
        <is>
          <t>Define architecture, environments and API contracts</t>
        </is>
      </c>
      <c r="E8" s="21" t="inlineStr">
        <is>
          <t>Approved logical architecture, module boundaries, OpenAPI draft and dev/test environment plan</t>
        </is>
      </c>
      <c r="F8" s="20" t="inlineStr">
        <is>
          <t>Solution Architect / Backend Lead</t>
        </is>
      </c>
      <c r="G8" s="22" t="n">
        <v>46321</v>
      </c>
      <c r="H8" s="22" t="n">
        <v>46328</v>
      </c>
      <c r="I8" s="20" t="inlineStr">
        <is>
          <t>Not Started</t>
        </is>
      </c>
      <c r="J8" s="23" t="n">
        <v>0</v>
      </c>
      <c r="K8" s="21" t="inlineStr">
        <is>
          <t>T001</t>
        </is>
      </c>
      <c r="L8" s="20" t="inlineStr">
        <is>
          <t>Critical</t>
        </is>
      </c>
      <c r="M8" s="20" t="n">
        <v>4</v>
      </c>
      <c r="N8" s="21" t="inlineStr">
        <is>
          <t>Start as a modular monolith; avoid microservices in MVP.</t>
        </is>
      </c>
    </row>
    <row r="9">
      <c r="A9" s="16" t="inlineStr">
        <is>
          <t>T005</t>
        </is>
      </c>
      <c r="B9" s="16" t="inlineStr">
        <is>
          <t>DevOps &amp; Security</t>
        </is>
      </c>
      <c r="C9" s="16" t="inlineStr">
        <is>
          <t>Week 1</t>
        </is>
      </c>
      <c r="D9" s="17" t="inlineStr">
        <is>
          <t>Create repository, branching, CI pipeline and code quality checks</t>
        </is>
      </c>
      <c r="E9" s="17" t="inlineStr">
        <is>
          <t>PR build, lint and baseline unit tests run automatically</t>
        </is>
      </c>
      <c r="F9" s="16" t="inlineStr">
        <is>
          <t>DevOps / Tech Lead</t>
        </is>
      </c>
      <c r="G9" s="18" t="n">
        <v>46321</v>
      </c>
      <c r="H9" s="18" t="n">
        <v>46328</v>
      </c>
      <c r="I9" s="16" t="inlineStr">
        <is>
          <t>Not Started</t>
        </is>
      </c>
      <c r="J9" s="19" t="n">
        <v>0</v>
      </c>
      <c r="K9" s="17" t="inlineStr">
        <is>
          <t>Repository and cloud account access</t>
        </is>
      </c>
      <c r="L9" s="16" t="inlineStr">
        <is>
          <t>High</t>
        </is>
      </c>
      <c r="M9" s="16" t="n">
        <v>3</v>
      </c>
      <c r="N9" s="17" t="inlineStr">
        <is>
          <t>Use approved company repositories and secret storage.</t>
        </is>
      </c>
    </row>
    <row r="10">
      <c r="A10" s="20" t="inlineStr">
        <is>
          <t>T006</t>
        </is>
      </c>
      <c r="B10" s="20" t="inlineStr">
        <is>
          <t>Data Foundation</t>
        </is>
      </c>
      <c r="C10" s="20" t="inlineStr">
        <is>
          <t>Week 1</t>
        </is>
      </c>
      <c r="D10" s="21" t="inlineStr">
        <is>
          <t>Design canonical data model and tenant isolation</t>
        </is>
      </c>
      <c r="E10" s="21" t="inlineStr">
        <is>
          <t>Reviewed ERD and initial schema for organizations, products, components, materials, suppliers and source lineage</t>
        </is>
      </c>
      <c r="F10" s="20" t="inlineStr">
        <is>
          <t>Solution Architect / Backend Lead</t>
        </is>
      </c>
      <c r="G10" s="22" t="n">
        <v>46322</v>
      </c>
      <c r="H10" s="22" t="n">
        <v>46332</v>
      </c>
      <c r="I10" s="20" t="inlineStr">
        <is>
          <t>Not Started</t>
        </is>
      </c>
      <c r="J10" s="23" t="n">
        <v>0</v>
      </c>
      <c r="K10" s="21" t="inlineStr">
        <is>
          <t>T001, T002</t>
        </is>
      </c>
      <c r="L10" s="20" t="inlineStr">
        <is>
          <t>Critical</t>
        </is>
      </c>
      <c r="M10" s="20" t="n">
        <v>5</v>
      </c>
      <c r="N10" s="21" t="inlineStr">
        <is>
          <t>Use relational columns for core/filterable fields; JSONB only for variable attributes.</t>
        </is>
      </c>
    </row>
    <row r="11">
      <c r="A11" s="16" t="inlineStr">
        <is>
          <t>T007</t>
        </is>
      </c>
      <c r="B11" s="16" t="inlineStr">
        <is>
          <t>Frontend</t>
        </is>
      </c>
      <c r="C11" s="16" t="inlineStr">
        <is>
          <t>Week 1</t>
        </is>
      </c>
      <c r="D11" s="17" t="inlineStr">
        <is>
          <t>Create Angular application shell and navigation</t>
        </is>
      </c>
      <c r="E11" s="17" t="inlineStr">
        <is>
          <t>App builds; module routes and basic product/import/issues/calculation navigation exist</t>
        </is>
      </c>
      <c r="F11" s="16" t="inlineStr">
        <is>
          <t>Frontend Developer</t>
        </is>
      </c>
      <c r="G11" s="18" t="n">
        <v>46321</v>
      </c>
      <c r="H11" s="18" t="n">
        <v>46328</v>
      </c>
      <c r="I11" s="16" t="inlineStr">
        <is>
          <t>Not Started</t>
        </is>
      </c>
      <c r="J11" s="19" t="n">
        <v>0</v>
      </c>
      <c r="K11" s="17" t="inlineStr">
        <is>
          <t>T004</t>
        </is>
      </c>
      <c r="L11" s="16" t="inlineStr">
        <is>
          <t>High</t>
        </is>
      </c>
      <c r="M11" s="16" t="n">
        <v>4</v>
      </c>
      <c r="N11" s="17" t="inlineStr">
        <is>
          <t>Use mock API responses until backend endpoints are ready.</t>
        </is>
      </c>
    </row>
    <row r="12">
      <c r="A12" s="20" t="inlineStr">
        <is>
          <t>T008</t>
        </is>
      </c>
      <c r="B12" s="20" t="inlineStr">
        <is>
          <t>Backend</t>
        </is>
      </c>
      <c r="C12" s="20" t="inlineStr">
        <is>
          <t>Week 1</t>
        </is>
      </c>
      <c r="D12" s="21" t="inlineStr">
        <is>
          <t>Create FastAPI service, health endpoint and OpenAPI docs</t>
        </is>
      </c>
      <c r="E12" s="21" t="inlineStr">
        <is>
          <t>Service starts in dev environment; health endpoint and API docs accessible</t>
        </is>
      </c>
      <c r="F12" s="20" t="inlineStr">
        <is>
          <t>Backend Developer</t>
        </is>
      </c>
      <c r="G12" s="22" t="n">
        <v>46321</v>
      </c>
      <c r="H12" s="22" t="n">
        <v>46328</v>
      </c>
      <c r="I12" s="20" t="inlineStr">
        <is>
          <t>Not Started</t>
        </is>
      </c>
      <c r="J12" s="23" t="n">
        <v>0</v>
      </c>
      <c r="K12" s="21" t="inlineStr">
        <is>
          <t>T004, T005</t>
        </is>
      </c>
      <c r="L12" s="20" t="inlineStr">
        <is>
          <t>High</t>
        </is>
      </c>
      <c r="M12" s="20" t="n">
        <v>3</v>
      </c>
      <c r="N12" s="21" t="inlineStr">
        <is>
          <t>Pin dependencies and add basic error handling.</t>
        </is>
      </c>
    </row>
    <row r="13">
      <c r="A13" s="16" t="inlineStr">
        <is>
          <t>T009</t>
        </is>
      </c>
      <c r="B13" s="16" t="inlineStr">
        <is>
          <t>Data Foundation</t>
        </is>
      </c>
      <c r="C13" s="16" t="inlineStr">
        <is>
          <t>Week 2</t>
        </is>
      </c>
      <c r="D13" s="17" t="inlineStr">
        <is>
          <t>Build CSV/Excel upload and import staging</t>
        </is>
      </c>
      <c r="E13" s="17" t="inlineStr">
        <is>
          <t>File upload, parse errors and import batch status are visible; original file retained securely</t>
        </is>
      </c>
      <c r="F13" s="16" t="inlineStr">
        <is>
          <t>Backend / Data Engineer</t>
        </is>
      </c>
      <c r="G13" s="18" t="n">
        <v>46328</v>
      </c>
      <c r="H13" s="18" t="n">
        <v>46339</v>
      </c>
      <c r="I13" s="16" t="inlineStr">
        <is>
          <t>Not Started</t>
        </is>
      </c>
      <c r="J13" s="19" t="n">
        <v>0</v>
      </c>
      <c r="K13" s="17" t="inlineStr">
        <is>
          <t>T002, T006, T008</t>
        </is>
      </c>
      <c r="L13" s="16" t="inlineStr">
        <is>
          <t>Critical</t>
        </is>
      </c>
      <c r="M13" s="16" t="n">
        <v>6</v>
      </c>
      <c r="N13" s="17" t="inlineStr">
        <is>
          <t>CSV first; Excel supported if representative client files require it.</t>
        </is>
      </c>
    </row>
    <row r="14">
      <c r="A14" s="20" t="inlineStr">
        <is>
          <t>T010</t>
        </is>
      </c>
      <c r="B14" s="20" t="inlineStr">
        <is>
          <t>Data Foundation</t>
        </is>
      </c>
      <c r="C14" s="20" t="inlineStr">
        <is>
          <t>Week 2</t>
        </is>
      </c>
      <c r="D14" s="21" t="inlineStr">
        <is>
          <t>Implement field mapping, normalization and unit handling</t>
        </is>
      </c>
      <c r="E14" s="21" t="inlineStr">
        <is>
          <t>Mapped records normalize material codes and weight units; mapping errors are reported</t>
        </is>
      </c>
      <c r="F14" s="20" t="inlineStr">
        <is>
          <t>Backend / Data Engineer</t>
        </is>
      </c>
      <c r="G14" s="22" t="n">
        <v>46328</v>
      </c>
      <c r="H14" s="22" t="n">
        <v>46339</v>
      </c>
      <c r="I14" s="20" t="inlineStr">
        <is>
          <t>Not Started</t>
        </is>
      </c>
      <c r="J14" s="23" t="n">
        <v>0</v>
      </c>
      <c r="K14" s="21" t="inlineStr">
        <is>
          <t>T006, T009, sample files</t>
        </is>
      </c>
      <c r="L14" s="20" t="inlineStr">
        <is>
          <t>Critical</t>
        </is>
      </c>
      <c r="M14" s="20" t="n">
        <v>5</v>
      </c>
      <c r="N14" s="21" t="inlineStr">
        <is>
          <t>Never silently guess unknown units or material categories.</t>
        </is>
      </c>
    </row>
    <row r="15">
      <c r="A15" s="16" t="inlineStr">
        <is>
          <t>T011</t>
        </is>
      </c>
      <c r="B15" s="16" t="inlineStr">
        <is>
          <t>Backend &amp; Data</t>
        </is>
      </c>
      <c r="C15" s="16" t="inlineStr">
        <is>
          <t>Week 2</t>
        </is>
      </c>
      <c r="D15" s="17" t="inlineStr">
        <is>
          <t>Implement product, packaging and material CRUD APIs</t>
        </is>
      </c>
      <c r="E15" s="17" t="inlineStr">
        <is>
          <t>Create/read/update/list endpoints pass API tests and enforce tenant access</t>
        </is>
      </c>
      <c r="F15" s="16" t="inlineStr">
        <is>
          <t>Backend Developer</t>
        </is>
      </c>
      <c r="G15" s="18" t="n">
        <v>46328</v>
      </c>
      <c r="H15" s="18" t="n">
        <v>46339</v>
      </c>
      <c r="I15" s="16" t="inlineStr">
        <is>
          <t>Not Started</t>
        </is>
      </c>
      <c r="J15" s="19" t="n">
        <v>0</v>
      </c>
      <c r="K15" s="17" t="inlineStr">
        <is>
          <t>T006, T008</t>
        </is>
      </c>
      <c r="L15" s="16" t="inlineStr">
        <is>
          <t>Critical</t>
        </is>
      </c>
      <c r="M15" s="16" t="n">
        <v>6</v>
      </c>
      <c r="N15" s="17" t="inlineStr">
        <is>
          <t>Add pagination and validation to list endpoints.</t>
        </is>
      </c>
    </row>
    <row r="16">
      <c r="A16" s="20" t="inlineStr">
        <is>
          <t>T012</t>
        </is>
      </c>
      <c r="B16" s="20" t="inlineStr">
        <is>
          <t>Frontend</t>
        </is>
      </c>
      <c r="C16" s="20" t="inlineStr">
        <is>
          <t>Week 2</t>
        </is>
      </c>
      <c r="D16" s="21" t="inlineStr">
        <is>
          <t>Build product and packaging list/detail screens</t>
        </is>
      </c>
      <c r="E16" s="21" t="inlineStr">
        <is>
          <t>Imported sample records visible; search/filter and detail view work against API</t>
        </is>
      </c>
      <c r="F16" s="20" t="inlineStr">
        <is>
          <t>Frontend Developer</t>
        </is>
      </c>
      <c r="G16" s="22" t="n">
        <v>46328</v>
      </c>
      <c r="H16" s="22" t="n">
        <v>46339</v>
      </c>
      <c r="I16" s="20" t="inlineStr">
        <is>
          <t>Not Started</t>
        </is>
      </c>
      <c r="J16" s="23" t="n">
        <v>0</v>
      </c>
      <c r="K16" s="21" t="inlineStr">
        <is>
          <t>T007, T009, T011</t>
        </is>
      </c>
      <c r="L16" s="20" t="inlineStr">
        <is>
          <t>High</t>
        </is>
      </c>
      <c r="M16" s="20" t="n">
        <v>6</v>
      </c>
      <c r="N16" s="21" t="inlineStr">
        <is>
          <t>Mock responses can be used until API integration is ready.</t>
        </is>
      </c>
    </row>
    <row r="17">
      <c r="A17" s="16" t="inlineStr">
        <is>
          <t>T013</t>
        </is>
      </c>
      <c r="B17" s="16" t="inlineStr">
        <is>
          <t>QA &amp; Testing</t>
        </is>
      </c>
      <c r="C17" s="16" t="inlineStr">
        <is>
          <t>Week 1-2</t>
        </is>
      </c>
      <c r="D17" s="17" t="inlineStr">
        <is>
          <t>Set up test data, unit tests and API integration test framework</t>
        </is>
      </c>
      <c r="E17" s="17" t="inlineStr">
        <is>
          <t>Repeatable seeded dataset; tests run in CI; import and CRUD happy/error cases covered</t>
        </is>
      </c>
      <c r="F17" s="16" t="inlineStr">
        <is>
          <t>QA / Backend Lead</t>
        </is>
      </c>
      <c r="G17" s="18" t="n">
        <v>46324</v>
      </c>
      <c r="H17" s="18" t="n">
        <v>46339</v>
      </c>
      <c r="I17" s="16" t="inlineStr">
        <is>
          <t>Not Started</t>
        </is>
      </c>
      <c r="J17" s="19" t="n">
        <v>0</v>
      </c>
      <c r="K17" s="17" t="inlineStr">
        <is>
          <t>T005, sample files</t>
        </is>
      </c>
      <c r="L17" s="16" t="inlineStr">
        <is>
          <t>High</t>
        </is>
      </c>
      <c r="M17" s="16" t="n">
        <v>5</v>
      </c>
      <c r="N17" s="17" t="inlineStr">
        <is>
          <t>Use anonymized/synthetic data until approved client data is available.</t>
        </is>
      </c>
    </row>
    <row r="18">
      <c r="A18" s="20" t="inlineStr">
        <is>
          <t>T014</t>
        </is>
      </c>
      <c r="B18" s="20" t="inlineStr">
        <is>
          <t>Data Quality</t>
        </is>
      </c>
      <c r="C18" s="20" t="inlineStr">
        <is>
          <t>Week 3</t>
        </is>
      </c>
      <c r="D18" s="21" t="inlineStr">
        <is>
          <t>Implement required-field, type, range and unit validations</t>
        </is>
      </c>
      <c r="E18" s="21" t="inlineStr">
        <is>
          <t>Invalid records create clear issues with rule ID, field, severity and evidence</t>
        </is>
      </c>
      <c r="F18" s="20" t="inlineStr">
        <is>
          <t>Backend / Data Engineer</t>
        </is>
      </c>
      <c r="G18" s="22" t="n">
        <v>46335</v>
      </c>
      <c r="H18" s="22" t="n">
        <v>46346</v>
      </c>
      <c r="I18" s="20" t="inlineStr">
        <is>
          <t>Not Started</t>
        </is>
      </c>
      <c r="J18" s="23" t="n">
        <v>0</v>
      </c>
      <c r="K18" s="21" t="inlineStr">
        <is>
          <t>T006, T009, T010</t>
        </is>
      </c>
      <c r="L18" s="20" t="inlineStr">
        <is>
          <t>Critical</t>
        </is>
      </c>
      <c r="M18" s="20" t="n">
        <v>6</v>
      </c>
      <c r="N18" s="21" t="inlineStr">
        <is>
          <t>Data quality status is separate from regulatory compliance status.</t>
        </is>
      </c>
    </row>
    <row r="19">
      <c r="A19" s="16" t="inlineStr">
        <is>
          <t>T015</t>
        </is>
      </c>
      <c r="B19" s="16" t="inlineStr">
        <is>
          <t>Data Quality</t>
        </is>
      </c>
      <c r="C19" s="16" t="inlineStr">
        <is>
          <t>Week 3</t>
        </is>
      </c>
      <c r="D19" s="17" t="inlineStr">
        <is>
          <t>Build data issue queue and filters</t>
        </is>
      </c>
      <c r="E19" s="17" t="inlineStr">
        <is>
          <t>Issues searchable by severity, status, owner and affected record</t>
        </is>
      </c>
      <c r="F19" s="16" t="inlineStr">
        <is>
          <t>Frontend Developer</t>
        </is>
      </c>
      <c r="G19" s="18" t="n">
        <v>46335</v>
      </c>
      <c r="H19" s="18" t="n">
        <v>46346</v>
      </c>
      <c r="I19" s="16" t="inlineStr">
        <is>
          <t>Not Started</t>
        </is>
      </c>
      <c r="J19" s="19" t="n">
        <v>0</v>
      </c>
      <c r="K19" s="17" t="inlineStr">
        <is>
          <t>T014 and API contract</t>
        </is>
      </c>
      <c r="L19" s="16" t="inlineStr">
        <is>
          <t>High</t>
        </is>
      </c>
      <c r="M19" s="16" t="n">
        <v>5</v>
      </c>
      <c r="N19" s="17" t="inlineStr">
        <is>
          <t>Keep the UI workflow simple for first demo.</t>
        </is>
      </c>
    </row>
    <row r="20">
      <c r="A20" s="20" t="inlineStr">
        <is>
          <t>T016</t>
        </is>
      </c>
      <c r="B20" s="20" t="inlineStr">
        <is>
          <t>Workflow &amp; Audit</t>
        </is>
      </c>
      <c r="C20" s="20" t="inlineStr">
        <is>
          <t>Week 3-4</t>
        </is>
      </c>
      <c r="D20" s="21" t="inlineStr">
        <is>
          <t>Implement correction submission, review and approval</t>
        </is>
      </c>
      <c r="E20" s="21" t="inlineStr">
        <is>
          <t>Correction can be submitted, approved/rejected, and revalidation reruns</t>
        </is>
      </c>
      <c r="F20" s="20" t="inlineStr">
        <is>
          <t>Backend Developer</t>
        </is>
      </c>
      <c r="G20" s="22" t="n">
        <v>46342</v>
      </c>
      <c r="H20" s="22" t="n">
        <v>46353</v>
      </c>
      <c r="I20" s="20" t="inlineStr">
        <is>
          <t>Not Started</t>
        </is>
      </c>
      <c r="J20" s="23" t="n">
        <v>0</v>
      </c>
      <c r="K20" s="21" t="inlineStr">
        <is>
          <t>T014, user roles defined</t>
        </is>
      </c>
      <c r="L20" s="20" t="inlineStr">
        <is>
          <t>Critical</t>
        </is>
      </c>
      <c r="M20" s="20" t="n">
        <v>7</v>
      </c>
      <c r="N20" s="21" t="inlineStr">
        <is>
          <t>Preserve before/after values and actor/time in audit trail.</t>
        </is>
      </c>
    </row>
    <row r="21">
      <c r="A21" s="16" t="inlineStr">
        <is>
          <t>T017</t>
        </is>
      </c>
      <c r="B21" s="16" t="inlineStr">
        <is>
          <t>Workflow &amp; Audit</t>
        </is>
      </c>
      <c r="C21" s="16" t="inlineStr">
        <is>
          <t>Week 4</t>
        </is>
      </c>
      <c r="D21" s="17" t="inlineStr">
        <is>
          <t>Build correction form and issue detail UI</t>
        </is>
      </c>
      <c r="E21" s="17" t="inlineStr">
        <is>
          <t>User can edit allowed fields, submit correction and see status/history</t>
        </is>
      </c>
      <c r="F21" s="16" t="inlineStr">
        <is>
          <t>Frontend Developer</t>
        </is>
      </c>
      <c r="G21" s="18" t="n">
        <v>46342</v>
      </c>
      <c r="H21" s="18" t="n">
        <v>46353</v>
      </c>
      <c r="I21" s="16" t="inlineStr">
        <is>
          <t>Not Started</t>
        </is>
      </c>
      <c r="J21" s="19" t="n">
        <v>0</v>
      </c>
      <c r="K21" s="17" t="inlineStr">
        <is>
          <t>T015, T016 API contract</t>
        </is>
      </c>
      <c r="L21" s="16" t="inlineStr">
        <is>
          <t>High</t>
        </is>
      </c>
      <c r="M21" s="16" t="n">
        <v>5</v>
      </c>
      <c r="N21" s="17" t="inlineStr">
        <is>
          <t>Role-based approval must be enforced by backend.</t>
        </is>
      </c>
    </row>
    <row r="22">
      <c r="A22" s="20" t="inlineStr">
        <is>
          <t>T018</t>
        </is>
      </c>
      <c r="B22" s="20" t="inlineStr">
        <is>
          <t>EPR Rules &amp; Calculation</t>
        </is>
      </c>
      <c r="C22" s="20" t="inlineStr">
        <is>
          <t>Week 3</t>
        </is>
      </c>
      <c r="D22" s="21" t="inlineStr">
        <is>
          <t>Collect approved EPR rules, rates and reference examples</t>
        </is>
      </c>
      <c r="E22" s="21" t="inlineStr">
        <is>
          <t>Target jurisdiction, reporting period, fee schedule and at least 3 expected-result cases signed off by SME/client</t>
        </is>
      </c>
      <c r="F22" s="20" t="inlineStr">
        <is>
          <t>Product Owner / Regulatory SME</t>
        </is>
      </c>
      <c r="G22" s="22" t="n">
        <v>46335</v>
      </c>
      <c r="H22" s="22" t="n">
        <v>46346</v>
      </c>
      <c r="I22" s="20" t="inlineStr">
        <is>
          <t>Not Started</t>
        </is>
      </c>
      <c r="J22" s="23" t="n">
        <v>0</v>
      </c>
      <c r="K22" s="21" t="inlineStr">
        <is>
          <t>Client compliance/regulatory owner</t>
        </is>
      </c>
      <c r="L22" s="20" t="inlineStr">
        <is>
          <t>Critical</t>
        </is>
      </c>
      <c r="M22" s="20" t="n">
        <v>4</v>
      </c>
      <c r="N22" s="21" t="inlineStr">
        <is>
          <t>This is a blocker for validated calculation results.</t>
        </is>
      </c>
    </row>
    <row r="23">
      <c r="A23" s="16" t="inlineStr">
        <is>
          <t>T019</t>
        </is>
      </c>
      <c r="B23" s="16" t="inlineStr">
        <is>
          <t>EPR Rules &amp; Calculation</t>
        </is>
      </c>
      <c r="C23" s="16" t="inlineStr">
        <is>
          <t>Week 4</t>
        </is>
      </c>
      <c r="D23" s="17" t="inlineStr">
        <is>
          <t>Design versioned rule set and fee schedule tables</t>
        </is>
      </c>
      <c r="E23" s="17" t="inlineStr">
        <is>
          <t>Draft/approved status, effective dates, version and immutable approved versions supported</t>
        </is>
      </c>
      <c r="F23" s="16" t="inlineStr">
        <is>
          <t>Backend Lead / Regulatory SME</t>
        </is>
      </c>
      <c r="G23" s="18" t="n">
        <v>46342</v>
      </c>
      <c r="H23" s="18" t="n">
        <v>46353</v>
      </c>
      <c r="I23" s="16" t="inlineStr">
        <is>
          <t>Not Started</t>
        </is>
      </c>
      <c r="J23" s="19" t="n">
        <v>0</v>
      </c>
      <c r="K23" s="17" t="inlineStr">
        <is>
          <t>T006, T018</t>
        </is>
      </c>
      <c r="L23" s="16" t="inlineStr">
        <is>
          <t>Critical</t>
        </is>
      </c>
      <c r="M23" s="16" t="n">
        <v>5</v>
      </c>
      <c r="N23" s="17" t="inlineStr">
        <is>
          <t>No universal formula assumed; model the selected jurisdiction's actual rules.</t>
        </is>
      </c>
    </row>
    <row r="24">
      <c r="A24" s="20" t="inlineStr">
        <is>
          <t>T020</t>
        </is>
      </c>
      <c r="B24" s="20" t="inlineStr">
        <is>
          <t>EPR Rules &amp; Calculation</t>
        </is>
      </c>
      <c r="C24" s="20" t="inlineStr">
        <is>
          <t>Week 5</t>
        </is>
      </c>
      <c r="D24" s="21" t="inlineStr">
        <is>
          <t>Implement EPR calculation engine for one jurisdiction</t>
        </is>
      </c>
      <c r="E24" s="21" t="inlineStr">
        <is>
          <t>Component-level calculations use approved inputs/rules and return explainable fee breakdown</t>
        </is>
      </c>
      <c r="F24" s="20" t="inlineStr">
        <is>
          <t>Backend Developer</t>
        </is>
      </c>
      <c r="G24" s="22" t="n">
        <v>46349</v>
      </c>
      <c r="H24" s="22" t="n">
        <v>46360</v>
      </c>
      <c r="I24" s="20" t="inlineStr">
        <is>
          <t>Not Started</t>
        </is>
      </c>
      <c r="J24" s="23" t="n">
        <v>0</v>
      </c>
      <c r="K24" s="21" t="inlineStr">
        <is>
          <t>T010, T018, T019</t>
        </is>
      </c>
      <c r="L24" s="20" t="inlineStr">
        <is>
          <t>Critical</t>
        </is>
      </c>
      <c r="M24" s="20" t="n">
        <v>8</v>
      </c>
      <c r="N24" s="21" t="inlineStr">
        <is>
          <t>Missing required inputs must be flagged, not treated as zero.</t>
        </is>
      </c>
    </row>
    <row r="25">
      <c r="A25" s="16" t="inlineStr">
        <is>
          <t>T021</t>
        </is>
      </c>
      <c r="B25" s="16" t="inlineStr">
        <is>
          <t>EPR Rules &amp; Calculation</t>
        </is>
      </c>
      <c r="C25" s="16" t="inlineStr">
        <is>
          <t>Week 5-6</t>
        </is>
      </c>
      <c r="D25" s="17" t="inlineStr">
        <is>
          <t>Persist calculation runs, inputs, rule version and outputs</t>
        </is>
      </c>
      <c r="E25" s="17" t="inlineStr">
        <is>
          <t>Run history can be reviewed and reproduced with same inputs and rule version</t>
        </is>
      </c>
      <c r="F25" s="16" t="inlineStr">
        <is>
          <t>Backend Developer</t>
        </is>
      </c>
      <c r="G25" s="18" t="n">
        <v>46349</v>
      </c>
      <c r="H25" s="18" t="n">
        <v>46360</v>
      </c>
      <c r="I25" s="16" t="inlineStr">
        <is>
          <t>Not Started</t>
        </is>
      </c>
      <c r="J25" s="19" t="n">
        <v>0</v>
      </c>
      <c r="K25" s="17" t="inlineStr">
        <is>
          <t>T019, T020</t>
        </is>
      </c>
      <c r="L25" s="16" t="inlineStr">
        <is>
          <t>High</t>
        </is>
      </c>
      <c r="M25" s="16" t="n">
        <v>5</v>
      </c>
      <c r="N25" s="17" t="inlineStr">
        <is>
          <t>Store run identifiers and versioned input references.</t>
        </is>
      </c>
    </row>
    <row r="26">
      <c r="A26" s="20" t="inlineStr">
        <is>
          <t>T022</t>
        </is>
      </c>
      <c r="B26" s="20" t="inlineStr">
        <is>
          <t>Frontend</t>
        </is>
      </c>
      <c r="C26" s="20" t="inlineStr">
        <is>
          <t>Week 6</t>
        </is>
      </c>
      <c r="D26" s="21" t="inlineStr">
        <is>
          <t>Build EPR calculation page and fee breakdown</t>
        </is>
      </c>
      <c r="E26" s="21" t="inlineStr">
        <is>
          <t>User selects jurisdiction/reporting period and views product/component fee details</t>
        </is>
      </c>
      <c r="F26" s="20" t="inlineStr">
        <is>
          <t>Frontend Developer</t>
        </is>
      </c>
      <c r="G26" s="22" t="n">
        <v>46356</v>
      </c>
      <c r="H26" s="22" t="n">
        <v>46367</v>
      </c>
      <c r="I26" s="20" t="inlineStr">
        <is>
          <t>Not Started</t>
        </is>
      </c>
      <c r="J26" s="23" t="n">
        <v>0</v>
      </c>
      <c r="K26" s="21" t="inlineStr">
        <is>
          <t>T020, T021 API contract</t>
        </is>
      </c>
      <c r="L26" s="20" t="inlineStr">
        <is>
          <t>High</t>
        </is>
      </c>
      <c r="M26" s="20" t="n">
        <v>6</v>
      </c>
      <c r="N26" s="21" t="inlineStr">
        <is>
          <t>Show excluded products and reasons.</t>
        </is>
      </c>
    </row>
    <row r="27">
      <c r="A27" s="16" t="inlineStr">
        <is>
          <t>T023</t>
        </is>
      </c>
      <c r="B27" s="16" t="inlineStr">
        <is>
          <t>Integrations</t>
        </is>
      </c>
      <c r="C27" s="16" t="inlineStr">
        <is>
          <t>Week 2-6</t>
        </is>
      </c>
      <c r="D27" s="17" t="inlineStr">
        <is>
          <t>Complete one-source integration feasibility spike</t>
        </is>
      </c>
      <c r="E27" s="17" t="inlineStr">
        <is>
          <t>Documented proof of auth, data extraction, field mapping, errors and estimated next steps</t>
        </is>
      </c>
      <c r="F27" s="16" t="inlineStr">
        <is>
          <t>Integration Engineer / Client IT</t>
        </is>
      </c>
      <c r="G27" s="18" t="n">
        <v>46328</v>
      </c>
      <c r="H27" s="18" t="n">
        <v>46360</v>
      </c>
      <c r="I27" s="16" t="inlineStr">
        <is>
          <t>Not Started</t>
        </is>
      </c>
      <c r="J27" s="19" t="n">
        <v>0</v>
      </c>
      <c r="K27" s="17" t="inlineStr">
        <is>
          <t>T003; source access and vendor support</t>
        </is>
      </c>
      <c r="L27" s="16" t="inlineStr">
        <is>
          <t>High</t>
        </is>
      </c>
      <c r="M27" s="16" t="n">
        <v>8</v>
      </c>
      <c r="N27" s="17" t="inlineStr">
        <is>
          <t>Do not block CSV-based MVP if credentials are delayed.</t>
        </is>
      </c>
    </row>
    <row r="28">
      <c r="A28" s="20" t="inlineStr">
        <is>
          <t>T024</t>
        </is>
      </c>
      <c r="B28" s="20" t="inlineStr">
        <is>
          <t>Analytics</t>
        </is>
      </c>
      <c r="C28" s="20" t="inlineStr">
        <is>
          <t>Week 7</t>
        </is>
      </c>
      <c r="D28" s="21" t="inlineStr">
        <is>
          <t>Build cost hotspot summary by product/material</t>
        </is>
      </c>
      <c r="E28" s="21" t="inlineStr">
        <is>
          <t>Ranked hotspots reconcile to calculation result totals</t>
        </is>
      </c>
      <c r="F28" s="20" t="inlineStr">
        <is>
          <t>Backend + Frontend</t>
        </is>
      </c>
      <c r="G28" s="22" t="n">
        <v>46363</v>
      </c>
      <c r="H28" s="22" t="n">
        <v>46367</v>
      </c>
      <c r="I28" s="20" t="inlineStr">
        <is>
          <t>Not Started</t>
        </is>
      </c>
      <c r="J28" s="23" t="n">
        <v>0</v>
      </c>
      <c r="K28" s="21" t="inlineStr">
        <is>
          <t>T020, T021</t>
        </is>
      </c>
      <c r="L28" s="20" t="inlineStr">
        <is>
          <t>Medium</t>
        </is>
      </c>
      <c r="M28" s="20" t="n">
        <v>5</v>
      </c>
      <c r="N28" s="21" t="inlineStr">
        <is>
          <t>Keep scope to simple rankings and charts.</t>
        </is>
      </c>
    </row>
    <row r="29">
      <c r="A29" s="16" t="inlineStr">
        <is>
          <t>T025</t>
        </is>
      </c>
      <c r="B29" s="16" t="inlineStr">
        <is>
          <t>Analytics</t>
        </is>
      </c>
      <c r="C29" s="16" t="inlineStr">
        <is>
          <t>Week 7</t>
        </is>
      </c>
      <c r="D29" s="17" t="inlineStr">
        <is>
          <t>Build basic what-if scenario comparison</t>
        </is>
      </c>
      <c r="E29" s="17" t="inlineStr">
        <is>
          <t>User changes one approved assumption and sees baseline vs scenario difference</t>
        </is>
      </c>
      <c r="F29" s="16" t="inlineStr">
        <is>
          <t>Backend + Frontend</t>
        </is>
      </c>
      <c r="G29" s="18" t="n">
        <v>46363</v>
      </c>
      <c r="H29" s="18" t="n">
        <v>46372</v>
      </c>
      <c r="I29" s="16" t="inlineStr">
        <is>
          <t>Not Started</t>
        </is>
      </c>
      <c r="J29" s="19" t="n">
        <v>0</v>
      </c>
      <c r="K29" s="17" t="inlineStr">
        <is>
          <t>T020, T021; SME validation</t>
        </is>
      </c>
      <c r="L29" s="16" t="inlineStr">
        <is>
          <t>Medium</t>
        </is>
      </c>
      <c r="M29" s="16" t="n">
        <v>6</v>
      </c>
      <c r="N29" s="17" t="inlineStr">
        <is>
          <t>Label results as scenario estimates, not guaranteed savings.</t>
        </is>
      </c>
    </row>
    <row r="30">
      <c r="A30" s="20" t="inlineStr">
        <is>
          <t>T026</t>
        </is>
      </c>
      <c r="B30" s="20" t="inlineStr">
        <is>
          <t>QA &amp; Testing</t>
        </is>
      </c>
      <c r="C30" s="20" t="inlineStr">
        <is>
          <t>Week 4-7</t>
        </is>
      </c>
      <c r="D30" s="21" t="inlineStr">
        <is>
          <t>Run EPR reconciliation, edge case and regression tests</t>
        </is>
      </c>
      <c r="E30" s="21" t="inlineStr">
        <is>
          <t>At least 3 approved reference cases pass; missing-data and boundary cases covered</t>
        </is>
      </c>
      <c r="F30" s="20" t="inlineStr">
        <is>
          <t>QA / Regulatory SME</t>
        </is>
      </c>
      <c r="G30" s="22" t="n">
        <v>46342</v>
      </c>
      <c r="H30" s="22" t="n">
        <v>46372</v>
      </c>
      <c r="I30" s="20" t="inlineStr">
        <is>
          <t>Not Started</t>
        </is>
      </c>
      <c r="J30" s="23" t="n">
        <v>0</v>
      </c>
      <c r="K30" s="21" t="inlineStr">
        <is>
          <t>T018, T020, client expected results</t>
        </is>
      </c>
      <c r="L30" s="20" t="inlineStr">
        <is>
          <t>Critical</t>
        </is>
      </c>
      <c r="M30" s="20" t="n">
        <v>7</v>
      </c>
      <c r="N30" s="21" t="inlineStr">
        <is>
          <t>Record test evidence and any accepted deviations.</t>
        </is>
      </c>
    </row>
    <row r="31">
      <c r="A31" s="16" t="inlineStr">
        <is>
          <t>T027</t>
        </is>
      </c>
      <c r="B31" s="16" t="inlineStr">
        <is>
          <t>Security &amp; SaaS</t>
        </is>
      </c>
      <c r="C31" s="16" t="inlineStr">
        <is>
          <t>Week 5-7</t>
        </is>
      </c>
      <c r="D31" s="17" t="inlineStr">
        <is>
          <t>Implement and test role permissions and tenant isolation</t>
        </is>
      </c>
      <c r="E31" s="17" t="inlineStr">
        <is>
          <t>Cross-tenant access tests fail safely; secrets not in code; access events logged</t>
        </is>
      </c>
      <c r="F31" s="16" t="inlineStr">
        <is>
          <t>Backend / DevOps / QA</t>
        </is>
      </c>
      <c r="G31" s="18" t="n">
        <v>46349</v>
      </c>
      <c r="H31" s="18" t="n">
        <v>46372</v>
      </c>
      <c r="I31" s="16" t="inlineStr">
        <is>
          <t>Not Started</t>
        </is>
      </c>
      <c r="J31" s="19" t="n">
        <v>0</v>
      </c>
      <c r="K31" s="17" t="inlineStr">
        <is>
          <t>Identity provider and tenant model decisions</t>
        </is>
      </c>
      <c r="L31" s="16" t="inlineStr">
        <is>
          <t>Critical</t>
        </is>
      </c>
      <c r="M31" s="16" t="n">
        <v>6</v>
      </c>
      <c r="N31" s="17" t="inlineStr">
        <is>
          <t>Production readiness requires independent security review.</t>
        </is>
      </c>
    </row>
    <row r="32">
      <c r="A32" s="20" t="inlineStr">
        <is>
          <t>T028</t>
        </is>
      </c>
      <c r="B32" s="20" t="inlineStr">
        <is>
          <t>DevOps &amp; Security</t>
        </is>
      </c>
      <c r="C32" s="20" t="inlineStr">
        <is>
          <t>Week 6-7</t>
        </is>
      </c>
      <c r="D32" s="21" t="inlineStr">
        <is>
          <t>Deploy test/staging environment with backups and logging</t>
        </is>
      </c>
      <c r="E32" s="21" t="inlineStr">
        <is>
          <t>Repeatable deployment, health checks, backups and operational logs verified</t>
        </is>
      </c>
      <c r="F32" s="20" t="inlineStr">
        <is>
          <t>DevOps / Backend Lead</t>
        </is>
      </c>
      <c r="G32" s="22" t="n">
        <v>46356</v>
      </c>
      <c r="H32" s="22" t="n">
        <v>46372</v>
      </c>
      <c r="I32" s="20" t="inlineStr">
        <is>
          <t>Not Started</t>
        </is>
      </c>
      <c r="J32" s="23" t="n">
        <v>0</v>
      </c>
      <c r="K32" s="21" t="inlineStr">
        <is>
          <t>Cloud account, security approvals</t>
        </is>
      </c>
      <c r="L32" s="20" t="inlineStr">
        <is>
          <t>High</t>
        </is>
      </c>
      <c r="M32" s="20" t="n">
        <v>5</v>
      </c>
      <c r="N32" s="21" t="inlineStr">
        <is>
          <t>Use managed services where practical; Kubernetes not required for initial MVP.</t>
        </is>
      </c>
    </row>
    <row r="33">
      <c r="A33" s="16" t="inlineStr">
        <is>
          <t>T029</t>
        </is>
      </c>
      <c r="B33" s="16" t="inlineStr">
        <is>
          <t>QA &amp; Testing</t>
        </is>
      </c>
      <c r="C33" s="16" t="inlineStr">
        <is>
          <t>Week 8</t>
        </is>
      </c>
      <c r="D33" s="17" t="inlineStr">
        <is>
          <t>Run end-to-end UAT and regression cycle</t>
        </is>
      </c>
      <c r="E33" s="17" t="inlineStr">
        <is>
          <t>Critical defects closed or explicitly accepted; UAT outcomes documented</t>
        </is>
      </c>
      <c r="F33" s="16" t="inlineStr">
        <is>
          <t>QA / Product Owner</t>
        </is>
      </c>
      <c r="G33" s="18" t="n">
        <v>46370</v>
      </c>
      <c r="H33" s="18" t="n">
        <v>46374</v>
      </c>
      <c r="I33" s="16" t="inlineStr">
        <is>
          <t>Not Started</t>
        </is>
      </c>
      <c r="J33" s="19" t="n">
        <v>0</v>
      </c>
      <c r="K33" s="17" t="inlineStr">
        <is>
          <t>T022, T024, T026, T027, T028</t>
        </is>
      </c>
      <c r="L33" s="16" t="inlineStr">
        <is>
          <t>Critical</t>
        </is>
      </c>
      <c r="M33" s="16" t="n">
        <v>5</v>
      </c>
      <c r="N33" s="17" t="inlineStr">
        <is>
          <t>Test on staging with representative data.</t>
        </is>
      </c>
    </row>
    <row r="34">
      <c r="A34" s="20" t="inlineStr">
        <is>
          <t>T030</t>
        </is>
      </c>
      <c r="B34" s="20" t="inlineStr">
        <is>
          <t>Delivery &amp; Governance</t>
        </is>
      </c>
      <c r="C34" s="20" t="inlineStr">
        <is>
          <t>Day 0 onward</t>
        </is>
      </c>
      <c r="D34" s="21" t="inlineStr">
        <is>
          <t>Weekly demo, decision log and risk/dependency review</t>
        </is>
      </c>
      <c r="E34" s="21" t="inlineStr">
        <is>
          <t>Weekly demo held; decisions, blockers, owners and due dates updated</t>
        </is>
      </c>
      <c r="F34" s="20" t="inlineStr">
        <is>
          <t>Solution Architect / Product Owner</t>
        </is>
      </c>
      <c r="G34" s="22" t="n">
        <v>46321</v>
      </c>
      <c r="H34" s="22" t="n">
        <v>46374</v>
      </c>
      <c r="I34" s="20" t="inlineStr">
        <is>
          <t>Not Started</t>
        </is>
      </c>
      <c r="J34" s="23" t="n">
        <v>0</v>
      </c>
      <c r="K34" s="21" t="inlineStr">
        <is>
          <t>Team and client availability</t>
        </is>
      </c>
      <c r="L34" s="20" t="inlineStr">
        <is>
          <t>High</t>
        </is>
      </c>
      <c r="M34" s="20" t="n">
        <v>8</v>
      </c>
      <c r="N34" s="21" t="inlineStr">
        <is>
          <t>Keep feedback loop active throughout development.</t>
        </is>
      </c>
    </row>
    <row r="35">
      <c r="A35" s="16" t="inlineStr">
        <is>
          <t>T031</t>
        </is>
      </c>
      <c r="B35" s="16" t="inlineStr">
        <is>
          <t>Delivery &amp; Governance</t>
        </is>
      </c>
      <c r="C35" s="16" t="inlineStr">
        <is>
          <t>Day 0 onward</t>
        </is>
      </c>
      <c r="D35" s="17" t="inlineStr">
        <is>
          <t>Daily stand-up and blocker escalation</t>
        </is>
      </c>
      <c r="E35" s="17" t="inlineStr">
        <is>
          <t>Owners update status; blockers have named owner and next action</t>
        </is>
      </c>
      <c r="F35" s="16" t="inlineStr">
        <is>
          <t>Project Lead</t>
        </is>
      </c>
      <c r="G35" s="18" t="n">
        <v>46321</v>
      </c>
      <c r="H35" s="18" t="n">
        <v>46374</v>
      </c>
      <c r="I35" s="16" t="inlineStr">
        <is>
          <t>Not Started</t>
        </is>
      </c>
      <c r="J35" s="19" t="n">
        <v>0</v>
      </c>
      <c r="K35" s="17" t="inlineStr">
        <is>
          <t>Team cadence agreed</t>
        </is>
      </c>
      <c r="L35" s="16" t="inlineStr">
        <is>
          <t>Medium</t>
        </is>
      </c>
      <c r="M35" s="16" t="n">
        <v>8</v>
      </c>
      <c r="N35" s="17" t="inlineStr">
        <is>
          <t>Keep stand-up short and action-oriented.</t>
        </is>
      </c>
    </row>
    <row r="36">
      <c r="A36" s="20" t="inlineStr">
        <is>
          <t>T032</t>
        </is>
      </c>
      <c r="B36" s="20" t="inlineStr">
        <is>
          <t>Future Modules</t>
        </is>
      </c>
      <c r="C36" s="20" t="inlineStr">
        <is>
          <t>Post-MVP</t>
        </is>
      </c>
      <c r="D36" s="21" t="inlineStr">
        <is>
          <t>Define PPWR, DPP and costing module backlog</t>
        </is>
      </c>
      <c r="E36" s="21" t="inlineStr">
        <is>
          <t>Prioritized backlog, shared data reuse and regulatory dependencies documented</t>
        </is>
      </c>
      <c r="F36" s="20" t="inlineStr">
        <is>
          <t>Product Owner / Solution Architect</t>
        </is>
      </c>
      <c r="G36" s="22" t="n">
        <v>46370</v>
      </c>
      <c r="H36" s="22" t="n">
        <v>46374</v>
      </c>
      <c r="I36" s="20" t="inlineStr">
        <is>
          <t>Not Started</t>
        </is>
      </c>
      <c r="J36" s="23" t="n">
        <v>0</v>
      </c>
      <c r="K36" s="21" t="inlineStr">
        <is>
          <t>MVP feedback and client priorities</t>
        </is>
      </c>
      <c r="L36" s="20" t="inlineStr">
        <is>
          <t>Low</t>
        </is>
      </c>
      <c r="M36" s="20" t="n">
        <v>3</v>
      </c>
      <c r="N36" s="21" t="inlineStr">
        <is>
          <t>Not included in 8-week EPR PoV delivery.</t>
        </is>
      </c>
    </row>
  </sheetData>
  <autoFilter ref="A4:N36"/>
  <mergeCells count="2">
    <mergeCell ref="A2:H2"/>
    <mergeCell ref="A1:H1"/>
  </mergeCells>
  <conditionalFormatting sqref="I5:I36">
    <cfRule type="expression" priority="1" dxfId="0">
      <formula>I5="Done"</formula>
    </cfRule>
    <cfRule type="expression" priority="2" dxfId="1">
      <formula>I5="Blocked"</formula>
    </cfRule>
    <cfRule type="expression" priority="3" dxfId="2">
      <formula>I5="In Progress"</formula>
    </cfRule>
  </conditionalFormatting>
  <dataValidations count="3">
    <dataValidation sqref="I5:I36" showDropDown="0" showInputMessage="0" showErrorMessage="0" allowBlank="0" type="list">
      <formula1>"Not Started,In Progress,Blocked,In Review,Done"</formula1>
    </dataValidation>
    <dataValidation sqref="L5:L36" showDropDown="0" showInputMessage="0" showErrorMessage="0" allowBlank="1" type="list">
      <formula1>"Critical,High,Medium,Low"</formula1>
    </dataValidation>
    <dataValidation sqref="J5:J36" showDropDown="0" showInputMessage="0" showErrorMessage="0" allowBlank="1" type="decimal" operator="between">
      <formula1>0</formula1>
      <formula2>1</formula2>
    </dataValidation>
  </dataValidations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showGridLines="0" zoomScale="85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25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8-WEEK GANTT | AUTO-UPDATED FROM TASKS</t>
        </is>
      </c>
    </row>
    <row r="2" ht="32" customHeight="1">
      <c r="A2" s="2" t="inlineStr">
        <is>
          <t>Bars are formula-driven from Tasks start/end dates. Change task dates on Tasks sheet to update. Weeks are shown from the project baseline start date.</t>
        </is>
      </c>
    </row>
    <row r="3">
      <c r="H3" s="24">
        <f>Dashboard!$B$4+0</f>
        <v/>
      </c>
      <c r="I3" s="24">
        <f>Dashboard!$B$4+7</f>
        <v/>
      </c>
      <c r="J3" s="24">
        <f>Dashboard!$B$4+14</f>
        <v/>
      </c>
      <c r="K3" s="24">
        <f>Dashboard!$B$4+21</f>
        <v/>
      </c>
      <c r="L3" s="24">
        <f>Dashboard!$B$4+28</f>
        <v/>
      </c>
      <c r="M3" s="24">
        <f>Dashboard!$B$4+35</f>
        <v/>
      </c>
      <c r="N3" s="24">
        <f>Dashboard!$B$4+42</f>
        <v/>
      </c>
      <c r="O3" s="24">
        <f>Dashboard!$B$4+49</f>
        <v/>
      </c>
    </row>
    <row r="4">
      <c r="A4" s="25" t="inlineStr">
        <is>
          <t>Task ID</t>
        </is>
      </c>
      <c r="B4" s="25" t="inlineStr">
        <is>
          <t>Workstream</t>
        </is>
      </c>
      <c r="C4" s="25" t="inlineStr">
        <is>
          <t>Task</t>
        </is>
      </c>
      <c r="D4" s="25" t="inlineStr">
        <is>
          <t>Owner</t>
        </is>
      </c>
      <c r="E4" s="25" t="inlineStr">
        <is>
          <t>Start</t>
        </is>
      </c>
      <c r="F4" s="25" t="inlineStr">
        <is>
          <t>Finish</t>
        </is>
      </c>
      <c r="G4" s="25" t="inlineStr">
        <is>
          <t>Status</t>
        </is>
      </c>
      <c r="H4" s="26" t="inlineStr">
        <is>
          <t>Week 1</t>
        </is>
      </c>
      <c r="I4" s="26" t="inlineStr">
        <is>
          <t>Week 2</t>
        </is>
      </c>
      <c r="J4" s="26" t="inlineStr">
        <is>
          <t>Week 3</t>
        </is>
      </c>
      <c r="K4" s="26" t="inlineStr">
        <is>
          <t>Week 4</t>
        </is>
      </c>
      <c r="L4" s="26" t="inlineStr">
        <is>
          <t>Week 5</t>
        </is>
      </c>
      <c r="M4" s="26" t="inlineStr">
        <is>
          <t>Week 6</t>
        </is>
      </c>
      <c r="N4" s="26" t="inlineStr">
        <is>
          <t>Week 7</t>
        </is>
      </c>
      <c r="O4" s="26" t="inlineStr">
        <is>
          <t>Week 8</t>
        </is>
      </c>
    </row>
    <row r="5" ht="24" customHeight="1">
      <c r="A5" s="17">
        <f>Tasks!A5</f>
        <v/>
      </c>
      <c r="B5" s="17">
        <f>Tasks!B5</f>
        <v/>
      </c>
      <c r="C5" s="17">
        <f>Tasks!D5</f>
        <v/>
      </c>
      <c r="D5" s="17">
        <f>Tasks!F5</f>
        <v/>
      </c>
      <c r="E5" s="27">
        <f>Tasks!G5</f>
        <v/>
      </c>
      <c r="F5" s="27">
        <f>Tasks!H5</f>
        <v/>
      </c>
      <c r="G5" s="17">
        <f>Tasks!I5</f>
        <v/>
      </c>
      <c r="H5" s="28">
        <f>IF(AND($E5&lt;=H$3+6,$F5&gt;=H$3),"■","")</f>
        <v/>
      </c>
      <c r="I5" s="28">
        <f>IF(AND($E5&lt;=I$3+6,$F5&gt;=I$3),"■","")</f>
        <v/>
      </c>
      <c r="J5" s="28">
        <f>IF(AND($E5&lt;=J$3+6,$F5&gt;=J$3),"■","")</f>
        <v/>
      </c>
      <c r="K5" s="28">
        <f>IF(AND($E5&lt;=K$3+6,$F5&gt;=K$3),"■","")</f>
        <v/>
      </c>
      <c r="L5" s="28">
        <f>IF(AND($E5&lt;=L$3+6,$F5&gt;=L$3),"■","")</f>
        <v/>
      </c>
      <c r="M5" s="28">
        <f>IF(AND($E5&lt;=M$3+6,$F5&gt;=M$3),"■","")</f>
        <v/>
      </c>
      <c r="N5" s="28">
        <f>IF(AND($E5&lt;=N$3+6,$F5&gt;=N$3),"■","")</f>
        <v/>
      </c>
      <c r="O5" s="28">
        <f>IF(AND($E5&lt;=O$3+6,$F5&gt;=O$3),"■","")</f>
        <v/>
      </c>
    </row>
    <row r="6" ht="24" customHeight="1">
      <c r="A6" s="21">
        <f>Tasks!A6</f>
        <v/>
      </c>
      <c r="B6" s="21">
        <f>Tasks!B6</f>
        <v/>
      </c>
      <c r="C6" s="21">
        <f>Tasks!D6</f>
        <v/>
      </c>
      <c r="D6" s="21">
        <f>Tasks!F6</f>
        <v/>
      </c>
      <c r="E6" s="29">
        <f>Tasks!G6</f>
        <v/>
      </c>
      <c r="F6" s="29">
        <f>Tasks!H6</f>
        <v/>
      </c>
      <c r="G6" s="21">
        <f>Tasks!I6</f>
        <v/>
      </c>
      <c r="H6" s="28">
        <f>IF(AND($E6&lt;=H$3+6,$F6&gt;=H$3),"■","")</f>
        <v/>
      </c>
      <c r="I6" s="28">
        <f>IF(AND($E6&lt;=I$3+6,$F6&gt;=I$3),"■","")</f>
        <v/>
      </c>
      <c r="J6" s="28">
        <f>IF(AND($E6&lt;=J$3+6,$F6&gt;=J$3),"■","")</f>
        <v/>
      </c>
      <c r="K6" s="28">
        <f>IF(AND($E6&lt;=K$3+6,$F6&gt;=K$3),"■","")</f>
        <v/>
      </c>
      <c r="L6" s="28">
        <f>IF(AND($E6&lt;=L$3+6,$F6&gt;=L$3),"■","")</f>
        <v/>
      </c>
      <c r="M6" s="28">
        <f>IF(AND($E6&lt;=M$3+6,$F6&gt;=M$3),"■","")</f>
        <v/>
      </c>
      <c r="N6" s="28">
        <f>IF(AND($E6&lt;=N$3+6,$F6&gt;=N$3),"■","")</f>
        <v/>
      </c>
      <c r="O6" s="28">
        <f>IF(AND($E6&lt;=O$3+6,$F6&gt;=O$3),"■","")</f>
        <v/>
      </c>
    </row>
    <row r="7" ht="24" customHeight="1">
      <c r="A7" s="17">
        <f>Tasks!A7</f>
        <v/>
      </c>
      <c r="B7" s="17">
        <f>Tasks!B7</f>
        <v/>
      </c>
      <c r="C7" s="17">
        <f>Tasks!D7</f>
        <v/>
      </c>
      <c r="D7" s="17">
        <f>Tasks!F7</f>
        <v/>
      </c>
      <c r="E7" s="27">
        <f>Tasks!G7</f>
        <v/>
      </c>
      <c r="F7" s="27">
        <f>Tasks!H7</f>
        <v/>
      </c>
      <c r="G7" s="17">
        <f>Tasks!I7</f>
        <v/>
      </c>
      <c r="H7" s="28">
        <f>IF(AND($E7&lt;=H$3+6,$F7&gt;=H$3),"■","")</f>
        <v/>
      </c>
      <c r="I7" s="28">
        <f>IF(AND($E7&lt;=I$3+6,$F7&gt;=I$3),"■","")</f>
        <v/>
      </c>
      <c r="J7" s="28">
        <f>IF(AND($E7&lt;=J$3+6,$F7&gt;=J$3),"■","")</f>
        <v/>
      </c>
      <c r="K7" s="28">
        <f>IF(AND($E7&lt;=K$3+6,$F7&gt;=K$3),"■","")</f>
        <v/>
      </c>
      <c r="L7" s="28">
        <f>IF(AND($E7&lt;=L$3+6,$F7&gt;=L$3),"■","")</f>
        <v/>
      </c>
      <c r="M7" s="28">
        <f>IF(AND($E7&lt;=M$3+6,$F7&gt;=M$3),"■","")</f>
        <v/>
      </c>
      <c r="N7" s="28">
        <f>IF(AND($E7&lt;=N$3+6,$F7&gt;=N$3),"■","")</f>
        <v/>
      </c>
      <c r="O7" s="28">
        <f>IF(AND($E7&lt;=O$3+6,$F7&gt;=O$3),"■","")</f>
        <v/>
      </c>
    </row>
    <row r="8" ht="24" customHeight="1">
      <c r="A8" s="21">
        <f>Tasks!A8</f>
        <v/>
      </c>
      <c r="B8" s="21">
        <f>Tasks!B8</f>
        <v/>
      </c>
      <c r="C8" s="21">
        <f>Tasks!D8</f>
        <v/>
      </c>
      <c r="D8" s="21">
        <f>Tasks!F8</f>
        <v/>
      </c>
      <c r="E8" s="29">
        <f>Tasks!G8</f>
        <v/>
      </c>
      <c r="F8" s="29">
        <f>Tasks!H8</f>
        <v/>
      </c>
      <c r="G8" s="21">
        <f>Tasks!I8</f>
        <v/>
      </c>
      <c r="H8" s="28">
        <f>IF(AND($E8&lt;=H$3+6,$F8&gt;=H$3),"■","")</f>
        <v/>
      </c>
      <c r="I8" s="28">
        <f>IF(AND($E8&lt;=I$3+6,$F8&gt;=I$3),"■","")</f>
        <v/>
      </c>
      <c r="J8" s="28">
        <f>IF(AND($E8&lt;=J$3+6,$F8&gt;=J$3),"■","")</f>
        <v/>
      </c>
      <c r="K8" s="28">
        <f>IF(AND($E8&lt;=K$3+6,$F8&gt;=K$3),"■","")</f>
        <v/>
      </c>
      <c r="L8" s="28">
        <f>IF(AND($E8&lt;=L$3+6,$F8&gt;=L$3),"■","")</f>
        <v/>
      </c>
      <c r="M8" s="28">
        <f>IF(AND($E8&lt;=M$3+6,$F8&gt;=M$3),"■","")</f>
        <v/>
      </c>
      <c r="N8" s="28">
        <f>IF(AND($E8&lt;=N$3+6,$F8&gt;=N$3),"■","")</f>
        <v/>
      </c>
      <c r="O8" s="28">
        <f>IF(AND($E8&lt;=O$3+6,$F8&gt;=O$3),"■","")</f>
        <v/>
      </c>
    </row>
    <row r="9" ht="24" customHeight="1">
      <c r="A9" s="17">
        <f>Tasks!A9</f>
        <v/>
      </c>
      <c r="B9" s="17">
        <f>Tasks!B9</f>
        <v/>
      </c>
      <c r="C9" s="17">
        <f>Tasks!D9</f>
        <v/>
      </c>
      <c r="D9" s="17">
        <f>Tasks!F9</f>
        <v/>
      </c>
      <c r="E9" s="27">
        <f>Tasks!G9</f>
        <v/>
      </c>
      <c r="F9" s="27">
        <f>Tasks!H9</f>
        <v/>
      </c>
      <c r="G9" s="17">
        <f>Tasks!I9</f>
        <v/>
      </c>
      <c r="H9" s="28">
        <f>IF(AND($E9&lt;=H$3+6,$F9&gt;=H$3),"■","")</f>
        <v/>
      </c>
      <c r="I9" s="28">
        <f>IF(AND($E9&lt;=I$3+6,$F9&gt;=I$3),"■","")</f>
        <v/>
      </c>
      <c r="J9" s="28">
        <f>IF(AND($E9&lt;=J$3+6,$F9&gt;=J$3),"■","")</f>
        <v/>
      </c>
      <c r="K9" s="28">
        <f>IF(AND($E9&lt;=K$3+6,$F9&gt;=K$3),"■","")</f>
        <v/>
      </c>
      <c r="L9" s="28">
        <f>IF(AND($E9&lt;=L$3+6,$F9&gt;=L$3),"■","")</f>
        <v/>
      </c>
      <c r="M9" s="28">
        <f>IF(AND($E9&lt;=M$3+6,$F9&gt;=M$3),"■","")</f>
        <v/>
      </c>
      <c r="N9" s="28">
        <f>IF(AND($E9&lt;=N$3+6,$F9&gt;=N$3),"■","")</f>
        <v/>
      </c>
      <c r="O9" s="28">
        <f>IF(AND($E9&lt;=O$3+6,$F9&gt;=O$3),"■","")</f>
        <v/>
      </c>
    </row>
    <row r="10" ht="24" customHeight="1">
      <c r="A10" s="21">
        <f>Tasks!A10</f>
        <v/>
      </c>
      <c r="B10" s="21">
        <f>Tasks!B10</f>
        <v/>
      </c>
      <c r="C10" s="21">
        <f>Tasks!D10</f>
        <v/>
      </c>
      <c r="D10" s="21">
        <f>Tasks!F10</f>
        <v/>
      </c>
      <c r="E10" s="29">
        <f>Tasks!G10</f>
        <v/>
      </c>
      <c r="F10" s="29">
        <f>Tasks!H10</f>
        <v/>
      </c>
      <c r="G10" s="21">
        <f>Tasks!I10</f>
        <v/>
      </c>
      <c r="H10" s="28">
        <f>IF(AND($E10&lt;=H$3+6,$F10&gt;=H$3),"■","")</f>
        <v/>
      </c>
      <c r="I10" s="28">
        <f>IF(AND($E10&lt;=I$3+6,$F10&gt;=I$3),"■","")</f>
        <v/>
      </c>
      <c r="J10" s="28">
        <f>IF(AND($E10&lt;=J$3+6,$F10&gt;=J$3),"■","")</f>
        <v/>
      </c>
      <c r="K10" s="28">
        <f>IF(AND($E10&lt;=K$3+6,$F10&gt;=K$3),"■","")</f>
        <v/>
      </c>
      <c r="L10" s="28">
        <f>IF(AND($E10&lt;=L$3+6,$F10&gt;=L$3),"■","")</f>
        <v/>
      </c>
      <c r="M10" s="28">
        <f>IF(AND($E10&lt;=M$3+6,$F10&gt;=M$3),"■","")</f>
        <v/>
      </c>
      <c r="N10" s="28">
        <f>IF(AND($E10&lt;=N$3+6,$F10&gt;=N$3),"■","")</f>
        <v/>
      </c>
      <c r="O10" s="28">
        <f>IF(AND($E10&lt;=O$3+6,$F10&gt;=O$3),"■","")</f>
        <v/>
      </c>
    </row>
    <row r="11" ht="24" customHeight="1">
      <c r="A11" s="17">
        <f>Tasks!A11</f>
        <v/>
      </c>
      <c r="B11" s="17">
        <f>Tasks!B11</f>
        <v/>
      </c>
      <c r="C11" s="17">
        <f>Tasks!D11</f>
        <v/>
      </c>
      <c r="D11" s="17">
        <f>Tasks!F11</f>
        <v/>
      </c>
      <c r="E11" s="27">
        <f>Tasks!G11</f>
        <v/>
      </c>
      <c r="F11" s="27">
        <f>Tasks!H11</f>
        <v/>
      </c>
      <c r="G11" s="17">
        <f>Tasks!I11</f>
        <v/>
      </c>
      <c r="H11" s="28">
        <f>IF(AND($E11&lt;=H$3+6,$F11&gt;=H$3),"■","")</f>
        <v/>
      </c>
      <c r="I11" s="28">
        <f>IF(AND($E11&lt;=I$3+6,$F11&gt;=I$3),"■","")</f>
        <v/>
      </c>
      <c r="J11" s="28">
        <f>IF(AND($E11&lt;=J$3+6,$F11&gt;=J$3),"■","")</f>
        <v/>
      </c>
      <c r="K11" s="28">
        <f>IF(AND($E11&lt;=K$3+6,$F11&gt;=K$3),"■","")</f>
        <v/>
      </c>
      <c r="L11" s="28">
        <f>IF(AND($E11&lt;=L$3+6,$F11&gt;=L$3),"■","")</f>
        <v/>
      </c>
      <c r="M11" s="28">
        <f>IF(AND($E11&lt;=M$3+6,$F11&gt;=M$3),"■","")</f>
        <v/>
      </c>
      <c r="N11" s="28">
        <f>IF(AND($E11&lt;=N$3+6,$F11&gt;=N$3),"■","")</f>
        <v/>
      </c>
      <c r="O11" s="28">
        <f>IF(AND($E11&lt;=O$3+6,$F11&gt;=O$3),"■","")</f>
        <v/>
      </c>
    </row>
    <row r="12" ht="24" customHeight="1">
      <c r="A12" s="21">
        <f>Tasks!A12</f>
        <v/>
      </c>
      <c r="B12" s="21">
        <f>Tasks!B12</f>
        <v/>
      </c>
      <c r="C12" s="21">
        <f>Tasks!D12</f>
        <v/>
      </c>
      <c r="D12" s="21">
        <f>Tasks!F12</f>
        <v/>
      </c>
      <c r="E12" s="29">
        <f>Tasks!G12</f>
        <v/>
      </c>
      <c r="F12" s="29">
        <f>Tasks!H12</f>
        <v/>
      </c>
      <c r="G12" s="21">
        <f>Tasks!I12</f>
        <v/>
      </c>
      <c r="H12" s="28">
        <f>IF(AND($E12&lt;=H$3+6,$F12&gt;=H$3),"■","")</f>
        <v/>
      </c>
      <c r="I12" s="28">
        <f>IF(AND($E12&lt;=I$3+6,$F12&gt;=I$3),"■","")</f>
        <v/>
      </c>
      <c r="J12" s="28">
        <f>IF(AND($E12&lt;=J$3+6,$F12&gt;=J$3),"■","")</f>
        <v/>
      </c>
      <c r="K12" s="28">
        <f>IF(AND($E12&lt;=K$3+6,$F12&gt;=K$3),"■","")</f>
        <v/>
      </c>
      <c r="L12" s="28">
        <f>IF(AND($E12&lt;=L$3+6,$F12&gt;=L$3),"■","")</f>
        <v/>
      </c>
      <c r="M12" s="28">
        <f>IF(AND($E12&lt;=M$3+6,$F12&gt;=M$3),"■","")</f>
        <v/>
      </c>
      <c r="N12" s="28">
        <f>IF(AND($E12&lt;=N$3+6,$F12&gt;=N$3),"■","")</f>
        <v/>
      </c>
      <c r="O12" s="28">
        <f>IF(AND($E12&lt;=O$3+6,$F12&gt;=O$3),"■","")</f>
        <v/>
      </c>
    </row>
    <row r="13" ht="24" customHeight="1">
      <c r="A13" s="17">
        <f>Tasks!A13</f>
        <v/>
      </c>
      <c r="B13" s="17">
        <f>Tasks!B13</f>
        <v/>
      </c>
      <c r="C13" s="17">
        <f>Tasks!D13</f>
        <v/>
      </c>
      <c r="D13" s="17">
        <f>Tasks!F13</f>
        <v/>
      </c>
      <c r="E13" s="27">
        <f>Tasks!G13</f>
        <v/>
      </c>
      <c r="F13" s="27">
        <f>Tasks!H13</f>
        <v/>
      </c>
      <c r="G13" s="17">
        <f>Tasks!I13</f>
        <v/>
      </c>
      <c r="H13" s="28">
        <f>IF(AND($E13&lt;=H$3+6,$F13&gt;=H$3),"■","")</f>
        <v/>
      </c>
      <c r="I13" s="28">
        <f>IF(AND($E13&lt;=I$3+6,$F13&gt;=I$3),"■","")</f>
        <v/>
      </c>
      <c r="J13" s="28">
        <f>IF(AND($E13&lt;=J$3+6,$F13&gt;=J$3),"■","")</f>
        <v/>
      </c>
      <c r="K13" s="28">
        <f>IF(AND($E13&lt;=K$3+6,$F13&gt;=K$3),"■","")</f>
        <v/>
      </c>
      <c r="L13" s="28">
        <f>IF(AND($E13&lt;=L$3+6,$F13&gt;=L$3),"■","")</f>
        <v/>
      </c>
      <c r="M13" s="28">
        <f>IF(AND($E13&lt;=M$3+6,$F13&gt;=M$3),"■","")</f>
        <v/>
      </c>
      <c r="N13" s="28">
        <f>IF(AND($E13&lt;=N$3+6,$F13&gt;=N$3),"■","")</f>
        <v/>
      </c>
      <c r="O13" s="28">
        <f>IF(AND($E13&lt;=O$3+6,$F13&gt;=O$3),"■","")</f>
        <v/>
      </c>
    </row>
    <row r="14" ht="24" customHeight="1">
      <c r="A14" s="21">
        <f>Tasks!A14</f>
        <v/>
      </c>
      <c r="B14" s="21">
        <f>Tasks!B14</f>
        <v/>
      </c>
      <c r="C14" s="21">
        <f>Tasks!D14</f>
        <v/>
      </c>
      <c r="D14" s="21">
        <f>Tasks!F14</f>
        <v/>
      </c>
      <c r="E14" s="29">
        <f>Tasks!G14</f>
        <v/>
      </c>
      <c r="F14" s="29">
        <f>Tasks!H14</f>
        <v/>
      </c>
      <c r="G14" s="21">
        <f>Tasks!I14</f>
        <v/>
      </c>
      <c r="H14" s="28">
        <f>IF(AND($E14&lt;=H$3+6,$F14&gt;=H$3),"■","")</f>
        <v/>
      </c>
      <c r="I14" s="28">
        <f>IF(AND($E14&lt;=I$3+6,$F14&gt;=I$3),"■","")</f>
        <v/>
      </c>
      <c r="J14" s="28">
        <f>IF(AND($E14&lt;=J$3+6,$F14&gt;=J$3),"■","")</f>
        <v/>
      </c>
      <c r="K14" s="28">
        <f>IF(AND($E14&lt;=K$3+6,$F14&gt;=K$3),"■","")</f>
        <v/>
      </c>
      <c r="L14" s="28">
        <f>IF(AND($E14&lt;=L$3+6,$F14&gt;=L$3),"■","")</f>
        <v/>
      </c>
      <c r="M14" s="28">
        <f>IF(AND($E14&lt;=M$3+6,$F14&gt;=M$3),"■","")</f>
        <v/>
      </c>
      <c r="N14" s="28">
        <f>IF(AND($E14&lt;=N$3+6,$F14&gt;=N$3),"■","")</f>
        <v/>
      </c>
      <c r="O14" s="28">
        <f>IF(AND($E14&lt;=O$3+6,$F14&gt;=O$3),"■","")</f>
        <v/>
      </c>
    </row>
    <row r="15" ht="24" customHeight="1">
      <c r="A15" s="17">
        <f>Tasks!A15</f>
        <v/>
      </c>
      <c r="B15" s="17">
        <f>Tasks!B15</f>
        <v/>
      </c>
      <c r="C15" s="17">
        <f>Tasks!D15</f>
        <v/>
      </c>
      <c r="D15" s="17">
        <f>Tasks!F15</f>
        <v/>
      </c>
      <c r="E15" s="27">
        <f>Tasks!G15</f>
        <v/>
      </c>
      <c r="F15" s="27">
        <f>Tasks!H15</f>
        <v/>
      </c>
      <c r="G15" s="17">
        <f>Tasks!I15</f>
        <v/>
      </c>
      <c r="H15" s="28">
        <f>IF(AND($E15&lt;=H$3+6,$F15&gt;=H$3),"■","")</f>
        <v/>
      </c>
      <c r="I15" s="28">
        <f>IF(AND($E15&lt;=I$3+6,$F15&gt;=I$3),"■","")</f>
        <v/>
      </c>
      <c r="J15" s="28">
        <f>IF(AND($E15&lt;=J$3+6,$F15&gt;=J$3),"■","")</f>
        <v/>
      </c>
      <c r="K15" s="28">
        <f>IF(AND($E15&lt;=K$3+6,$F15&gt;=K$3),"■","")</f>
        <v/>
      </c>
      <c r="L15" s="28">
        <f>IF(AND($E15&lt;=L$3+6,$F15&gt;=L$3),"■","")</f>
        <v/>
      </c>
      <c r="M15" s="28">
        <f>IF(AND($E15&lt;=M$3+6,$F15&gt;=M$3),"■","")</f>
        <v/>
      </c>
      <c r="N15" s="28">
        <f>IF(AND($E15&lt;=N$3+6,$F15&gt;=N$3),"■","")</f>
        <v/>
      </c>
      <c r="O15" s="28">
        <f>IF(AND($E15&lt;=O$3+6,$F15&gt;=O$3),"■","")</f>
        <v/>
      </c>
    </row>
    <row r="16" ht="24" customHeight="1">
      <c r="A16" s="21">
        <f>Tasks!A16</f>
        <v/>
      </c>
      <c r="B16" s="21">
        <f>Tasks!B16</f>
        <v/>
      </c>
      <c r="C16" s="21">
        <f>Tasks!D16</f>
        <v/>
      </c>
      <c r="D16" s="21">
        <f>Tasks!F16</f>
        <v/>
      </c>
      <c r="E16" s="29">
        <f>Tasks!G16</f>
        <v/>
      </c>
      <c r="F16" s="29">
        <f>Tasks!H16</f>
        <v/>
      </c>
      <c r="G16" s="21">
        <f>Tasks!I16</f>
        <v/>
      </c>
      <c r="H16" s="28">
        <f>IF(AND($E16&lt;=H$3+6,$F16&gt;=H$3),"■","")</f>
        <v/>
      </c>
      <c r="I16" s="28">
        <f>IF(AND($E16&lt;=I$3+6,$F16&gt;=I$3),"■","")</f>
        <v/>
      </c>
      <c r="J16" s="28">
        <f>IF(AND($E16&lt;=J$3+6,$F16&gt;=J$3),"■","")</f>
        <v/>
      </c>
      <c r="K16" s="28">
        <f>IF(AND($E16&lt;=K$3+6,$F16&gt;=K$3),"■","")</f>
        <v/>
      </c>
      <c r="L16" s="28">
        <f>IF(AND($E16&lt;=L$3+6,$F16&gt;=L$3),"■","")</f>
        <v/>
      </c>
      <c r="M16" s="28">
        <f>IF(AND($E16&lt;=M$3+6,$F16&gt;=M$3),"■","")</f>
        <v/>
      </c>
      <c r="N16" s="28">
        <f>IF(AND($E16&lt;=N$3+6,$F16&gt;=N$3),"■","")</f>
        <v/>
      </c>
      <c r="O16" s="28">
        <f>IF(AND($E16&lt;=O$3+6,$F16&gt;=O$3),"■","")</f>
        <v/>
      </c>
    </row>
    <row r="17" ht="24" customHeight="1">
      <c r="A17" s="17">
        <f>Tasks!A17</f>
        <v/>
      </c>
      <c r="B17" s="17">
        <f>Tasks!B17</f>
        <v/>
      </c>
      <c r="C17" s="17">
        <f>Tasks!D17</f>
        <v/>
      </c>
      <c r="D17" s="17">
        <f>Tasks!F17</f>
        <v/>
      </c>
      <c r="E17" s="27">
        <f>Tasks!G17</f>
        <v/>
      </c>
      <c r="F17" s="27">
        <f>Tasks!H17</f>
        <v/>
      </c>
      <c r="G17" s="17">
        <f>Tasks!I17</f>
        <v/>
      </c>
      <c r="H17" s="28">
        <f>IF(AND($E17&lt;=H$3+6,$F17&gt;=H$3),"■","")</f>
        <v/>
      </c>
      <c r="I17" s="28">
        <f>IF(AND($E17&lt;=I$3+6,$F17&gt;=I$3),"■","")</f>
        <v/>
      </c>
      <c r="J17" s="28">
        <f>IF(AND($E17&lt;=J$3+6,$F17&gt;=J$3),"■","")</f>
        <v/>
      </c>
      <c r="K17" s="28">
        <f>IF(AND($E17&lt;=K$3+6,$F17&gt;=K$3),"■","")</f>
        <v/>
      </c>
      <c r="L17" s="28">
        <f>IF(AND($E17&lt;=L$3+6,$F17&gt;=L$3),"■","")</f>
        <v/>
      </c>
      <c r="M17" s="28">
        <f>IF(AND($E17&lt;=M$3+6,$F17&gt;=M$3),"■","")</f>
        <v/>
      </c>
      <c r="N17" s="28">
        <f>IF(AND($E17&lt;=N$3+6,$F17&gt;=N$3),"■","")</f>
        <v/>
      </c>
      <c r="O17" s="28">
        <f>IF(AND($E17&lt;=O$3+6,$F17&gt;=O$3),"■","")</f>
        <v/>
      </c>
    </row>
    <row r="18" ht="24" customHeight="1">
      <c r="A18" s="21">
        <f>Tasks!A18</f>
        <v/>
      </c>
      <c r="B18" s="21">
        <f>Tasks!B18</f>
        <v/>
      </c>
      <c r="C18" s="21">
        <f>Tasks!D18</f>
        <v/>
      </c>
      <c r="D18" s="21">
        <f>Tasks!F18</f>
        <v/>
      </c>
      <c r="E18" s="29">
        <f>Tasks!G18</f>
        <v/>
      </c>
      <c r="F18" s="29">
        <f>Tasks!H18</f>
        <v/>
      </c>
      <c r="G18" s="21">
        <f>Tasks!I18</f>
        <v/>
      </c>
      <c r="H18" s="28">
        <f>IF(AND($E18&lt;=H$3+6,$F18&gt;=H$3),"■","")</f>
        <v/>
      </c>
      <c r="I18" s="28">
        <f>IF(AND($E18&lt;=I$3+6,$F18&gt;=I$3),"■","")</f>
        <v/>
      </c>
      <c r="J18" s="28">
        <f>IF(AND($E18&lt;=J$3+6,$F18&gt;=J$3),"■","")</f>
        <v/>
      </c>
      <c r="K18" s="28">
        <f>IF(AND($E18&lt;=K$3+6,$F18&gt;=K$3),"■","")</f>
        <v/>
      </c>
      <c r="L18" s="28">
        <f>IF(AND($E18&lt;=L$3+6,$F18&gt;=L$3),"■","")</f>
        <v/>
      </c>
      <c r="M18" s="28">
        <f>IF(AND($E18&lt;=M$3+6,$F18&gt;=M$3),"■","")</f>
        <v/>
      </c>
      <c r="N18" s="28">
        <f>IF(AND($E18&lt;=N$3+6,$F18&gt;=N$3),"■","")</f>
        <v/>
      </c>
      <c r="O18" s="28">
        <f>IF(AND($E18&lt;=O$3+6,$F18&gt;=O$3),"■","")</f>
        <v/>
      </c>
    </row>
    <row r="19" ht="24" customHeight="1">
      <c r="A19" s="17">
        <f>Tasks!A19</f>
        <v/>
      </c>
      <c r="B19" s="17">
        <f>Tasks!B19</f>
        <v/>
      </c>
      <c r="C19" s="17">
        <f>Tasks!D19</f>
        <v/>
      </c>
      <c r="D19" s="17">
        <f>Tasks!F19</f>
        <v/>
      </c>
      <c r="E19" s="27">
        <f>Tasks!G19</f>
        <v/>
      </c>
      <c r="F19" s="27">
        <f>Tasks!H19</f>
        <v/>
      </c>
      <c r="G19" s="17">
        <f>Tasks!I19</f>
        <v/>
      </c>
      <c r="H19" s="28">
        <f>IF(AND($E19&lt;=H$3+6,$F19&gt;=H$3),"■","")</f>
        <v/>
      </c>
      <c r="I19" s="28">
        <f>IF(AND($E19&lt;=I$3+6,$F19&gt;=I$3),"■","")</f>
        <v/>
      </c>
      <c r="J19" s="28">
        <f>IF(AND($E19&lt;=J$3+6,$F19&gt;=J$3),"■","")</f>
        <v/>
      </c>
      <c r="K19" s="28">
        <f>IF(AND($E19&lt;=K$3+6,$F19&gt;=K$3),"■","")</f>
        <v/>
      </c>
      <c r="L19" s="28">
        <f>IF(AND($E19&lt;=L$3+6,$F19&gt;=L$3),"■","")</f>
        <v/>
      </c>
      <c r="M19" s="28">
        <f>IF(AND($E19&lt;=M$3+6,$F19&gt;=M$3),"■","")</f>
        <v/>
      </c>
      <c r="N19" s="28">
        <f>IF(AND($E19&lt;=N$3+6,$F19&gt;=N$3),"■","")</f>
        <v/>
      </c>
      <c r="O19" s="28">
        <f>IF(AND($E19&lt;=O$3+6,$F19&gt;=O$3),"■","")</f>
        <v/>
      </c>
    </row>
    <row r="20" ht="24" customHeight="1">
      <c r="A20" s="21">
        <f>Tasks!A20</f>
        <v/>
      </c>
      <c r="B20" s="21">
        <f>Tasks!B20</f>
        <v/>
      </c>
      <c r="C20" s="21">
        <f>Tasks!D20</f>
        <v/>
      </c>
      <c r="D20" s="21">
        <f>Tasks!F20</f>
        <v/>
      </c>
      <c r="E20" s="29">
        <f>Tasks!G20</f>
        <v/>
      </c>
      <c r="F20" s="29">
        <f>Tasks!H20</f>
        <v/>
      </c>
      <c r="G20" s="21">
        <f>Tasks!I20</f>
        <v/>
      </c>
      <c r="H20" s="28">
        <f>IF(AND($E20&lt;=H$3+6,$F20&gt;=H$3),"■","")</f>
        <v/>
      </c>
      <c r="I20" s="28">
        <f>IF(AND($E20&lt;=I$3+6,$F20&gt;=I$3),"■","")</f>
        <v/>
      </c>
      <c r="J20" s="28">
        <f>IF(AND($E20&lt;=J$3+6,$F20&gt;=J$3),"■","")</f>
        <v/>
      </c>
      <c r="K20" s="28">
        <f>IF(AND($E20&lt;=K$3+6,$F20&gt;=K$3),"■","")</f>
        <v/>
      </c>
      <c r="L20" s="28">
        <f>IF(AND($E20&lt;=L$3+6,$F20&gt;=L$3),"■","")</f>
        <v/>
      </c>
      <c r="M20" s="28">
        <f>IF(AND($E20&lt;=M$3+6,$F20&gt;=M$3),"■","")</f>
        <v/>
      </c>
      <c r="N20" s="28">
        <f>IF(AND($E20&lt;=N$3+6,$F20&gt;=N$3),"■","")</f>
        <v/>
      </c>
      <c r="O20" s="28">
        <f>IF(AND($E20&lt;=O$3+6,$F20&gt;=O$3),"■","")</f>
        <v/>
      </c>
    </row>
    <row r="21" ht="24" customHeight="1">
      <c r="A21" s="17">
        <f>Tasks!A21</f>
        <v/>
      </c>
      <c r="B21" s="17">
        <f>Tasks!B21</f>
        <v/>
      </c>
      <c r="C21" s="17">
        <f>Tasks!D21</f>
        <v/>
      </c>
      <c r="D21" s="17">
        <f>Tasks!F21</f>
        <v/>
      </c>
      <c r="E21" s="27">
        <f>Tasks!G21</f>
        <v/>
      </c>
      <c r="F21" s="27">
        <f>Tasks!H21</f>
        <v/>
      </c>
      <c r="G21" s="17">
        <f>Tasks!I21</f>
        <v/>
      </c>
      <c r="H21" s="28">
        <f>IF(AND($E21&lt;=H$3+6,$F21&gt;=H$3),"■","")</f>
        <v/>
      </c>
      <c r="I21" s="28">
        <f>IF(AND($E21&lt;=I$3+6,$F21&gt;=I$3),"■","")</f>
        <v/>
      </c>
      <c r="J21" s="28">
        <f>IF(AND($E21&lt;=J$3+6,$F21&gt;=J$3),"■","")</f>
        <v/>
      </c>
      <c r="K21" s="28">
        <f>IF(AND($E21&lt;=K$3+6,$F21&gt;=K$3),"■","")</f>
        <v/>
      </c>
      <c r="L21" s="28">
        <f>IF(AND($E21&lt;=L$3+6,$F21&gt;=L$3),"■","")</f>
        <v/>
      </c>
      <c r="M21" s="28">
        <f>IF(AND($E21&lt;=M$3+6,$F21&gt;=M$3),"■","")</f>
        <v/>
      </c>
      <c r="N21" s="28">
        <f>IF(AND($E21&lt;=N$3+6,$F21&gt;=N$3),"■","")</f>
        <v/>
      </c>
      <c r="O21" s="28">
        <f>IF(AND($E21&lt;=O$3+6,$F21&gt;=O$3),"■","")</f>
        <v/>
      </c>
    </row>
    <row r="22" ht="24" customHeight="1">
      <c r="A22" s="21">
        <f>Tasks!A22</f>
        <v/>
      </c>
      <c r="B22" s="21">
        <f>Tasks!B22</f>
        <v/>
      </c>
      <c r="C22" s="21">
        <f>Tasks!D22</f>
        <v/>
      </c>
      <c r="D22" s="21">
        <f>Tasks!F22</f>
        <v/>
      </c>
      <c r="E22" s="29">
        <f>Tasks!G22</f>
        <v/>
      </c>
      <c r="F22" s="29">
        <f>Tasks!H22</f>
        <v/>
      </c>
      <c r="G22" s="21">
        <f>Tasks!I22</f>
        <v/>
      </c>
      <c r="H22" s="28">
        <f>IF(AND($E22&lt;=H$3+6,$F22&gt;=H$3),"■","")</f>
        <v/>
      </c>
      <c r="I22" s="28">
        <f>IF(AND($E22&lt;=I$3+6,$F22&gt;=I$3),"■","")</f>
        <v/>
      </c>
      <c r="J22" s="28">
        <f>IF(AND($E22&lt;=J$3+6,$F22&gt;=J$3),"■","")</f>
        <v/>
      </c>
      <c r="K22" s="28">
        <f>IF(AND($E22&lt;=K$3+6,$F22&gt;=K$3),"■","")</f>
        <v/>
      </c>
      <c r="L22" s="28">
        <f>IF(AND($E22&lt;=L$3+6,$F22&gt;=L$3),"■","")</f>
        <v/>
      </c>
      <c r="M22" s="28">
        <f>IF(AND($E22&lt;=M$3+6,$F22&gt;=M$3),"■","")</f>
        <v/>
      </c>
      <c r="N22" s="28">
        <f>IF(AND($E22&lt;=N$3+6,$F22&gt;=N$3),"■","")</f>
        <v/>
      </c>
      <c r="O22" s="28">
        <f>IF(AND($E22&lt;=O$3+6,$F22&gt;=O$3),"■","")</f>
        <v/>
      </c>
    </row>
    <row r="23" ht="24" customHeight="1">
      <c r="A23" s="17">
        <f>Tasks!A23</f>
        <v/>
      </c>
      <c r="B23" s="17">
        <f>Tasks!B23</f>
        <v/>
      </c>
      <c r="C23" s="17">
        <f>Tasks!D23</f>
        <v/>
      </c>
      <c r="D23" s="17">
        <f>Tasks!F23</f>
        <v/>
      </c>
      <c r="E23" s="27">
        <f>Tasks!G23</f>
        <v/>
      </c>
      <c r="F23" s="27">
        <f>Tasks!H23</f>
        <v/>
      </c>
      <c r="G23" s="17">
        <f>Tasks!I23</f>
        <v/>
      </c>
      <c r="H23" s="28">
        <f>IF(AND($E23&lt;=H$3+6,$F23&gt;=H$3),"■","")</f>
        <v/>
      </c>
      <c r="I23" s="28">
        <f>IF(AND($E23&lt;=I$3+6,$F23&gt;=I$3),"■","")</f>
        <v/>
      </c>
      <c r="J23" s="28">
        <f>IF(AND($E23&lt;=J$3+6,$F23&gt;=J$3),"■","")</f>
        <v/>
      </c>
      <c r="K23" s="28">
        <f>IF(AND($E23&lt;=K$3+6,$F23&gt;=K$3),"■","")</f>
        <v/>
      </c>
      <c r="L23" s="28">
        <f>IF(AND($E23&lt;=L$3+6,$F23&gt;=L$3),"■","")</f>
        <v/>
      </c>
      <c r="M23" s="28">
        <f>IF(AND($E23&lt;=M$3+6,$F23&gt;=M$3),"■","")</f>
        <v/>
      </c>
      <c r="N23" s="28">
        <f>IF(AND($E23&lt;=N$3+6,$F23&gt;=N$3),"■","")</f>
        <v/>
      </c>
      <c r="O23" s="28">
        <f>IF(AND($E23&lt;=O$3+6,$F23&gt;=O$3),"■","")</f>
        <v/>
      </c>
    </row>
    <row r="24" ht="24" customHeight="1">
      <c r="A24" s="21">
        <f>Tasks!A24</f>
        <v/>
      </c>
      <c r="B24" s="21">
        <f>Tasks!B24</f>
        <v/>
      </c>
      <c r="C24" s="21">
        <f>Tasks!D24</f>
        <v/>
      </c>
      <c r="D24" s="21">
        <f>Tasks!F24</f>
        <v/>
      </c>
      <c r="E24" s="29">
        <f>Tasks!G24</f>
        <v/>
      </c>
      <c r="F24" s="29">
        <f>Tasks!H24</f>
        <v/>
      </c>
      <c r="G24" s="21">
        <f>Tasks!I24</f>
        <v/>
      </c>
      <c r="H24" s="28">
        <f>IF(AND($E24&lt;=H$3+6,$F24&gt;=H$3),"■","")</f>
        <v/>
      </c>
      <c r="I24" s="28">
        <f>IF(AND($E24&lt;=I$3+6,$F24&gt;=I$3),"■","")</f>
        <v/>
      </c>
      <c r="J24" s="28">
        <f>IF(AND($E24&lt;=J$3+6,$F24&gt;=J$3),"■","")</f>
        <v/>
      </c>
      <c r="K24" s="28">
        <f>IF(AND($E24&lt;=K$3+6,$F24&gt;=K$3),"■","")</f>
        <v/>
      </c>
      <c r="L24" s="28">
        <f>IF(AND($E24&lt;=L$3+6,$F24&gt;=L$3),"■","")</f>
        <v/>
      </c>
      <c r="M24" s="28">
        <f>IF(AND($E24&lt;=M$3+6,$F24&gt;=M$3),"■","")</f>
        <v/>
      </c>
      <c r="N24" s="28">
        <f>IF(AND($E24&lt;=N$3+6,$F24&gt;=N$3),"■","")</f>
        <v/>
      </c>
      <c r="O24" s="28">
        <f>IF(AND($E24&lt;=O$3+6,$F24&gt;=O$3),"■","")</f>
        <v/>
      </c>
    </row>
    <row r="25" ht="24" customHeight="1">
      <c r="A25" s="17">
        <f>Tasks!A25</f>
        <v/>
      </c>
      <c r="B25" s="17">
        <f>Tasks!B25</f>
        <v/>
      </c>
      <c r="C25" s="17">
        <f>Tasks!D25</f>
        <v/>
      </c>
      <c r="D25" s="17">
        <f>Tasks!F25</f>
        <v/>
      </c>
      <c r="E25" s="27">
        <f>Tasks!G25</f>
        <v/>
      </c>
      <c r="F25" s="27">
        <f>Tasks!H25</f>
        <v/>
      </c>
      <c r="G25" s="17">
        <f>Tasks!I25</f>
        <v/>
      </c>
      <c r="H25" s="28">
        <f>IF(AND($E25&lt;=H$3+6,$F25&gt;=H$3),"■","")</f>
        <v/>
      </c>
      <c r="I25" s="28">
        <f>IF(AND($E25&lt;=I$3+6,$F25&gt;=I$3),"■","")</f>
        <v/>
      </c>
      <c r="J25" s="28">
        <f>IF(AND($E25&lt;=J$3+6,$F25&gt;=J$3),"■","")</f>
        <v/>
      </c>
      <c r="K25" s="28">
        <f>IF(AND($E25&lt;=K$3+6,$F25&gt;=K$3),"■","")</f>
        <v/>
      </c>
      <c r="L25" s="28">
        <f>IF(AND($E25&lt;=L$3+6,$F25&gt;=L$3),"■","")</f>
        <v/>
      </c>
      <c r="M25" s="28">
        <f>IF(AND($E25&lt;=M$3+6,$F25&gt;=M$3),"■","")</f>
        <v/>
      </c>
      <c r="N25" s="28">
        <f>IF(AND($E25&lt;=N$3+6,$F25&gt;=N$3),"■","")</f>
        <v/>
      </c>
      <c r="O25" s="28">
        <f>IF(AND($E25&lt;=O$3+6,$F25&gt;=O$3),"■","")</f>
        <v/>
      </c>
    </row>
    <row r="26" ht="24" customHeight="1">
      <c r="A26" s="21">
        <f>Tasks!A26</f>
        <v/>
      </c>
      <c r="B26" s="21">
        <f>Tasks!B26</f>
        <v/>
      </c>
      <c r="C26" s="21">
        <f>Tasks!D26</f>
        <v/>
      </c>
      <c r="D26" s="21">
        <f>Tasks!F26</f>
        <v/>
      </c>
      <c r="E26" s="29">
        <f>Tasks!G26</f>
        <v/>
      </c>
      <c r="F26" s="29">
        <f>Tasks!H26</f>
        <v/>
      </c>
      <c r="G26" s="21">
        <f>Tasks!I26</f>
        <v/>
      </c>
      <c r="H26" s="28">
        <f>IF(AND($E26&lt;=H$3+6,$F26&gt;=H$3),"■","")</f>
        <v/>
      </c>
      <c r="I26" s="28">
        <f>IF(AND($E26&lt;=I$3+6,$F26&gt;=I$3),"■","")</f>
        <v/>
      </c>
      <c r="J26" s="28">
        <f>IF(AND($E26&lt;=J$3+6,$F26&gt;=J$3),"■","")</f>
        <v/>
      </c>
      <c r="K26" s="28">
        <f>IF(AND($E26&lt;=K$3+6,$F26&gt;=K$3),"■","")</f>
        <v/>
      </c>
      <c r="L26" s="28">
        <f>IF(AND($E26&lt;=L$3+6,$F26&gt;=L$3),"■","")</f>
        <v/>
      </c>
      <c r="M26" s="28">
        <f>IF(AND($E26&lt;=M$3+6,$F26&gt;=M$3),"■","")</f>
        <v/>
      </c>
      <c r="N26" s="28">
        <f>IF(AND($E26&lt;=N$3+6,$F26&gt;=N$3),"■","")</f>
        <v/>
      </c>
      <c r="O26" s="28">
        <f>IF(AND($E26&lt;=O$3+6,$F26&gt;=O$3),"■","")</f>
        <v/>
      </c>
    </row>
    <row r="27" ht="24" customHeight="1">
      <c r="A27" s="17">
        <f>Tasks!A27</f>
        <v/>
      </c>
      <c r="B27" s="17">
        <f>Tasks!B27</f>
        <v/>
      </c>
      <c r="C27" s="17">
        <f>Tasks!D27</f>
        <v/>
      </c>
      <c r="D27" s="17">
        <f>Tasks!F27</f>
        <v/>
      </c>
      <c r="E27" s="27">
        <f>Tasks!G27</f>
        <v/>
      </c>
      <c r="F27" s="27">
        <f>Tasks!H27</f>
        <v/>
      </c>
      <c r="G27" s="17">
        <f>Tasks!I27</f>
        <v/>
      </c>
      <c r="H27" s="28">
        <f>IF(AND($E27&lt;=H$3+6,$F27&gt;=H$3),"■","")</f>
        <v/>
      </c>
      <c r="I27" s="28">
        <f>IF(AND($E27&lt;=I$3+6,$F27&gt;=I$3),"■","")</f>
        <v/>
      </c>
      <c r="J27" s="28">
        <f>IF(AND($E27&lt;=J$3+6,$F27&gt;=J$3),"■","")</f>
        <v/>
      </c>
      <c r="K27" s="28">
        <f>IF(AND($E27&lt;=K$3+6,$F27&gt;=K$3),"■","")</f>
        <v/>
      </c>
      <c r="L27" s="28">
        <f>IF(AND($E27&lt;=L$3+6,$F27&gt;=L$3),"■","")</f>
        <v/>
      </c>
      <c r="M27" s="28">
        <f>IF(AND($E27&lt;=M$3+6,$F27&gt;=M$3),"■","")</f>
        <v/>
      </c>
      <c r="N27" s="28">
        <f>IF(AND($E27&lt;=N$3+6,$F27&gt;=N$3),"■","")</f>
        <v/>
      </c>
      <c r="O27" s="28">
        <f>IF(AND($E27&lt;=O$3+6,$F27&gt;=O$3),"■","")</f>
        <v/>
      </c>
    </row>
    <row r="28" ht="24" customHeight="1">
      <c r="A28" s="21">
        <f>Tasks!A28</f>
        <v/>
      </c>
      <c r="B28" s="21">
        <f>Tasks!B28</f>
        <v/>
      </c>
      <c r="C28" s="21">
        <f>Tasks!D28</f>
        <v/>
      </c>
      <c r="D28" s="21">
        <f>Tasks!F28</f>
        <v/>
      </c>
      <c r="E28" s="29">
        <f>Tasks!G28</f>
        <v/>
      </c>
      <c r="F28" s="29">
        <f>Tasks!H28</f>
        <v/>
      </c>
      <c r="G28" s="21">
        <f>Tasks!I28</f>
        <v/>
      </c>
      <c r="H28" s="28">
        <f>IF(AND($E28&lt;=H$3+6,$F28&gt;=H$3),"■","")</f>
        <v/>
      </c>
      <c r="I28" s="28">
        <f>IF(AND($E28&lt;=I$3+6,$F28&gt;=I$3),"■","")</f>
        <v/>
      </c>
      <c r="J28" s="28">
        <f>IF(AND($E28&lt;=J$3+6,$F28&gt;=J$3),"■","")</f>
        <v/>
      </c>
      <c r="K28" s="28">
        <f>IF(AND($E28&lt;=K$3+6,$F28&gt;=K$3),"■","")</f>
        <v/>
      </c>
      <c r="L28" s="28">
        <f>IF(AND($E28&lt;=L$3+6,$F28&gt;=L$3),"■","")</f>
        <v/>
      </c>
      <c r="M28" s="28">
        <f>IF(AND($E28&lt;=M$3+6,$F28&gt;=M$3),"■","")</f>
        <v/>
      </c>
      <c r="N28" s="28">
        <f>IF(AND($E28&lt;=N$3+6,$F28&gt;=N$3),"■","")</f>
        <v/>
      </c>
      <c r="O28" s="28">
        <f>IF(AND($E28&lt;=O$3+6,$F28&gt;=O$3),"■","")</f>
        <v/>
      </c>
    </row>
    <row r="29" ht="24" customHeight="1">
      <c r="A29" s="17">
        <f>Tasks!A29</f>
        <v/>
      </c>
      <c r="B29" s="17">
        <f>Tasks!B29</f>
        <v/>
      </c>
      <c r="C29" s="17">
        <f>Tasks!D29</f>
        <v/>
      </c>
      <c r="D29" s="17">
        <f>Tasks!F29</f>
        <v/>
      </c>
      <c r="E29" s="27">
        <f>Tasks!G29</f>
        <v/>
      </c>
      <c r="F29" s="27">
        <f>Tasks!H29</f>
        <v/>
      </c>
      <c r="G29" s="17">
        <f>Tasks!I29</f>
        <v/>
      </c>
      <c r="H29" s="28">
        <f>IF(AND($E29&lt;=H$3+6,$F29&gt;=H$3),"■","")</f>
        <v/>
      </c>
      <c r="I29" s="28">
        <f>IF(AND($E29&lt;=I$3+6,$F29&gt;=I$3),"■","")</f>
        <v/>
      </c>
      <c r="J29" s="28">
        <f>IF(AND($E29&lt;=J$3+6,$F29&gt;=J$3),"■","")</f>
        <v/>
      </c>
      <c r="K29" s="28">
        <f>IF(AND($E29&lt;=K$3+6,$F29&gt;=K$3),"■","")</f>
        <v/>
      </c>
      <c r="L29" s="28">
        <f>IF(AND($E29&lt;=L$3+6,$F29&gt;=L$3),"■","")</f>
        <v/>
      </c>
      <c r="M29" s="28">
        <f>IF(AND($E29&lt;=M$3+6,$F29&gt;=M$3),"■","")</f>
        <v/>
      </c>
      <c r="N29" s="28">
        <f>IF(AND($E29&lt;=N$3+6,$F29&gt;=N$3),"■","")</f>
        <v/>
      </c>
      <c r="O29" s="28">
        <f>IF(AND($E29&lt;=O$3+6,$F29&gt;=O$3),"■","")</f>
        <v/>
      </c>
    </row>
    <row r="30" ht="24" customHeight="1">
      <c r="A30" s="21">
        <f>Tasks!A30</f>
        <v/>
      </c>
      <c r="B30" s="21">
        <f>Tasks!B30</f>
        <v/>
      </c>
      <c r="C30" s="21">
        <f>Tasks!D30</f>
        <v/>
      </c>
      <c r="D30" s="21">
        <f>Tasks!F30</f>
        <v/>
      </c>
      <c r="E30" s="29">
        <f>Tasks!G30</f>
        <v/>
      </c>
      <c r="F30" s="29">
        <f>Tasks!H30</f>
        <v/>
      </c>
      <c r="G30" s="21">
        <f>Tasks!I30</f>
        <v/>
      </c>
      <c r="H30" s="28">
        <f>IF(AND($E30&lt;=H$3+6,$F30&gt;=H$3),"■","")</f>
        <v/>
      </c>
      <c r="I30" s="28">
        <f>IF(AND($E30&lt;=I$3+6,$F30&gt;=I$3),"■","")</f>
        <v/>
      </c>
      <c r="J30" s="28">
        <f>IF(AND($E30&lt;=J$3+6,$F30&gt;=J$3),"■","")</f>
        <v/>
      </c>
      <c r="K30" s="28">
        <f>IF(AND($E30&lt;=K$3+6,$F30&gt;=K$3),"■","")</f>
        <v/>
      </c>
      <c r="L30" s="28">
        <f>IF(AND($E30&lt;=L$3+6,$F30&gt;=L$3),"■","")</f>
        <v/>
      </c>
      <c r="M30" s="28">
        <f>IF(AND($E30&lt;=M$3+6,$F30&gt;=M$3),"■","")</f>
        <v/>
      </c>
      <c r="N30" s="28">
        <f>IF(AND($E30&lt;=N$3+6,$F30&gt;=N$3),"■","")</f>
        <v/>
      </c>
      <c r="O30" s="28">
        <f>IF(AND($E30&lt;=O$3+6,$F30&gt;=O$3),"■","")</f>
        <v/>
      </c>
    </row>
    <row r="31" ht="24" customHeight="1">
      <c r="A31" s="17">
        <f>Tasks!A31</f>
        <v/>
      </c>
      <c r="B31" s="17">
        <f>Tasks!B31</f>
        <v/>
      </c>
      <c r="C31" s="17">
        <f>Tasks!D31</f>
        <v/>
      </c>
      <c r="D31" s="17">
        <f>Tasks!F31</f>
        <v/>
      </c>
      <c r="E31" s="27">
        <f>Tasks!G31</f>
        <v/>
      </c>
      <c r="F31" s="27">
        <f>Tasks!H31</f>
        <v/>
      </c>
      <c r="G31" s="17">
        <f>Tasks!I31</f>
        <v/>
      </c>
      <c r="H31" s="28">
        <f>IF(AND($E31&lt;=H$3+6,$F31&gt;=H$3),"■","")</f>
        <v/>
      </c>
      <c r="I31" s="28">
        <f>IF(AND($E31&lt;=I$3+6,$F31&gt;=I$3),"■","")</f>
        <v/>
      </c>
      <c r="J31" s="28">
        <f>IF(AND($E31&lt;=J$3+6,$F31&gt;=J$3),"■","")</f>
        <v/>
      </c>
      <c r="K31" s="28">
        <f>IF(AND($E31&lt;=K$3+6,$F31&gt;=K$3),"■","")</f>
        <v/>
      </c>
      <c r="L31" s="28">
        <f>IF(AND($E31&lt;=L$3+6,$F31&gt;=L$3),"■","")</f>
        <v/>
      </c>
      <c r="M31" s="28">
        <f>IF(AND($E31&lt;=M$3+6,$F31&gt;=M$3),"■","")</f>
        <v/>
      </c>
      <c r="N31" s="28">
        <f>IF(AND($E31&lt;=N$3+6,$F31&gt;=N$3),"■","")</f>
        <v/>
      </c>
      <c r="O31" s="28">
        <f>IF(AND($E31&lt;=O$3+6,$F31&gt;=O$3),"■","")</f>
        <v/>
      </c>
    </row>
    <row r="32" ht="24" customHeight="1">
      <c r="A32" s="21">
        <f>Tasks!A32</f>
        <v/>
      </c>
      <c r="B32" s="21">
        <f>Tasks!B32</f>
        <v/>
      </c>
      <c r="C32" s="21">
        <f>Tasks!D32</f>
        <v/>
      </c>
      <c r="D32" s="21">
        <f>Tasks!F32</f>
        <v/>
      </c>
      <c r="E32" s="29">
        <f>Tasks!G32</f>
        <v/>
      </c>
      <c r="F32" s="29">
        <f>Tasks!H32</f>
        <v/>
      </c>
      <c r="G32" s="21">
        <f>Tasks!I32</f>
        <v/>
      </c>
      <c r="H32" s="28">
        <f>IF(AND($E32&lt;=H$3+6,$F32&gt;=H$3),"■","")</f>
        <v/>
      </c>
      <c r="I32" s="28">
        <f>IF(AND($E32&lt;=I$3+6,$F32&gt;=I$3),"■","")</f>
        <v/>
      </c>
      <c r="J32" s="28">
        <f>IF(AND($E32&lt;=J$3+6,$F32&gt;=J$3),"■","")</f>
        <v/>
      </c>
      <c r="K32" s="28">
        <f>IF(AND($E32&lt;=K$3+6,$F32&gt;=K$3),"■","")</f>
        <v/>
      </c>
      <c r="L32" s="28">
        <f>IF(AND($E32&lt;=L$3+6,$F32&gt;=L$3),"■","")</f>
        <v/>
      </c>
      <c r="M32" s="28">
        <f>IF(AND($E32&lt;=M$3+6,$F32&gt;=M$3),"■","")</f>
        <v/>
      </c>
      <c r="N32" s="28">
        <f>IF(AND($E32&lt;=N$3+6,$F32&gt;=N$3),"■","")</f>
        <v/>
      </c>
      <c r="O32" s="28">
        <f>IF(AND($E32&lt;=O$3+6,$F32&gt;=O$3),"■","")</f>
        <v/>
      </c>
    </row>
    <row r="33" ht="24" customHeight="1">
      <c r="A33" s="17">
        <f>Tasks!A33</f>
        <v/>
      </c>
      <c r="B33" s="17">
        <f>Tasks!B33</f>
        <v/>
      </c>
      <c r="C33" s="17">
        <f>Tasks!D33</f>
        <v/>
      </c>
      <c r="D33" s="17">
        <f>Tasks!F33</f>
        <v/>
      </c>
      <c r="E33" s="27">
        <f>Tasks!G33</f>
        <v/>
      </c>
      <c r="F33" s="27">
        <f>Tasks!H33</f>
        <v/>
      </c>
      <c r="G33" s="17">
        <f>Tasks!I33</f>
        <v/>
      </c>
      <c r="H33" s="28">
        <f>IF(AND($E33&lt;=H$3+6,$F33&gt;=H$3),"■","")</f>
        <v/>
      </c>
      <c r="I33" s="28">
        <f>IF(AND($E33&lt;=I$3+6,$F33&gt;=I$3),"■","")</f>
        <v/>
      </c>
      <c r="J33" s="28">
        <f>IF(AND($E33&lt;=J$3+6,$F33&gt;=J$3),"■","")</f>
        <v/>
      </c>
      <c r="K33" s="28">
        <f>IF(AND($E33&lt;=K$3+6,$F33&gt;=K$3),"■","")</f>
        <v/>
      </c>
      <c r="L33" s="28">
        <f>IF(AND($E33&lt;=L$3+6,$F33&gt;=L$3),"■","")</f>
        <v/>
      </c>
      <c r="M33" s="28">
        <f>IF(AND($E33&lt;=M$3+6,$F33&gt;=M$3),"■","")</f>
        <v/>
      </c>
      <c r="N33" s="28">
        <f>IF(AND($E33&lt;=N$3+6,$F33&gt;=N$3),"■","")</f>
        <v/>
      </c>
      <c r="O33" s="28">
        <f>IF(AND($E33&lt;=O$3+6,$F33&gt;=O$3),"■","")</f>
        <v/>
      </c>
    </row>
    <row r="34" ht="24" customHeight="1">
      <c r="A34" s="21">
        <f>Tasks!A34</f>
        <v/>
      </c>
      <c r="B34" s="21">
        <f>Tasks!B34</f>
        <v/>
      </c>
      <c r="C34" s="21">
        <f>Tasks!D34</f>
        <v/>
      </c>
      <c r="D34" s="21">
        <f>Tasks!F34</f>
        <v/>
      </c>
      <c r="E34" s="29">
        <f>Tasks!G34</f>
        <v/>
      </c>
      <c r="F34" s="29">
        <f>Tasks!H34</f>
        <v/>
      </c>
      <c r="G34" s="21">
        <f>Tasks!I34</f>
        <v/>
      </c>
      <c r="H34" s="28">
        <f>IF(AND($E34&lt;=H$3+6,$F34&gt;=H$3),"■","")</f>
        <v/>
      </c>
      <c r="I34" s="28">
        <f>IF(AND($E34&lt;=I$3+6,$F34&gt;=I$3),"■","")</f>
        <v/>
      </c>
      <c r="J34" s="28">
        <f>IF(AND($E34&lt;=J$3+6,$F34&gt;=J$3),"■","")</f>
        <v/>
      </c>
      <c r="K34" s="28">
        <f>IF(AND($E34&lt;=K$3+6,$F34&gt;=K$3),"■","")</f>
        <v/>
      </c>
      <c r="L34" s="28">
        <f>IF(AND($E34&lt;=L$3+6,$F34&gt;=L$3),"■","")</f>
        <v/>
      </c>
      <c r="M34" s="28">
        <f>IF(AND($E34&lt;=M$3+6,$F34&gt;=M$3),"■","")</f>
        <v/>
      </c>
      <c r="N34" s="28">
        <f>IF(AND($E34&lt;=N$3+6,$F34&gt;=N$3),"■","")</f>
        <v/>
      </c>
      <c r="O34" s="28">
        <f>IF(AND($E34&lt;=O$3+6,$F34&gt;=O$3),"■","")</f>
        <v/>
      </c>
    </row>
    <row r="35" ht="24" customHeight="1">
      <c r="A35" s="17">
        <f>Tasks!A35</f>
        <v/>
      </c>
      <c r="B35" s="17">
        <f>Tasks!B35</f>
        <v/>
      </c>
      <c r="C35" s="17">
        <f>Tasks!D35</f>
        <v/>
      </c>
      <c r="D35" s="17">
        <f>Tasks!F35</f>
        <v/>
      </c>
      <c r="E35" s="27">
        <f>Tasks!G35</f>
        <v/>
      </c>
      <c r="F35" s="27">
        <f>Tasks!H35</f>
        <v/>
      </c>
      <c r="G35" s="17">
        <f>Tasks!I35</f>
        <v/>
      </c>
      <c r="H35" s="28">
        <f>IF(AND($E35&lt;=H$3+6,$F35&gt;=H$3),"■","")</f>
        <v/>
      </c>
      <c r="I35" s="28">
        <f>IF(AND($E35&lt;=I$3+6,$F35&gt;=I$3),"■","")</f>
        <v/>
      </c>
      <c r="J35" s="28">
        <f>IF(AND($E35&lt;=J$3+6,$F35&gt;=J$3),"■","")</f>
        <v/>
      </c>
      <c r="K35" s="28">
        <f>IF(AND($E35&lt;=K$3+6,$F35&gt;=K$3),"■","")</f>
        <v/>
      </c>
      <c r="L35" s="28">
        <f>IF(AND($E35&lt;=L$3+6,$F35&gt;=L$3),"■","")</f>
        <v/>
      </c>
      <c r="M35" s="28">
        <f>IF(AND($E35&lt;=M$3+6,$F35&gt;=M$3),"■","")</f>
        <v/>
      </c>
      <c r="N35" s="28">
        <f>IF(AND($E35&lt;=N$3+6,$F35&gt;=N$3),"■","")</f>
        <v/>
      </c>
      <c r="O35" s="28">
        <f>IF(AND($E35&lt;=O$3+6,$F35&gt;=O$3),"■","")</f>
        <v/>
      </c>
    </row>
    <row r="36" ht="24" customHeight="1">
      <c r="A36" s="21">
        <f>Tasks!A36</f>
        <v/>
      </c>
      <c r="B36" s="21">
        <f>Tasks!B36</f>
        <v/>
      </c>
      <c r="C36" s="21">
        <f>Tasks!D36</f>
        <v/>
      </c>
      <c r="D36" s="21">
        <f>Tasks!F36</f>
        <v/>
      </c>
      <c r="E36" s="29">
        <f>Tasks!G36</f>
        <v/>
      </c>
      <c r="F36" s="29">
        <f>Tasks!H36</f>
        <v/>
      </c>
      <c r="G36" s="21">
        <f>Tasks!I36</f>
        <v/>
      </c>
      <c r="H36" s="28">
        <f>IF(AND($E36&lt;=H$3+6,$F36&gt;=H$3),"■","")</f>
        <v/>
      </c>
      <c r="I36" s="28">
        <f>IF(AND($E36&lt;=I$3+6,$F36&gt;=I$3),"■","")</f>
        <v/>
      </c>
      <c r="J36" s="28">
        <f>IF(AND($E36&lt;=J$3+6,$F36&gt;=J$3),"■","")</f>
        <v/>
      </c>
      <c r="K36" s="28">
        <f>IF(AND($E36&lt;=K$3+6,$F36&gt;=K$3),"■","")</f>
        <v/>
      </c>
      <c r="L36" s="28">
        <f>IF(AND($E36&lt;=L$3+6,$F36&gt;=L$3),"■","")</f>
        <v/>
      </c>
      <c r="M36" s="28">
        <f>IF(AND($E36&lt;=M$3+6,$F36&gt;=M$3),"■","")</f>
        <v/>
      </c>
      <c r="N36" s="28">
        <f>IF(AND($E36&lt;=N$3+6,$F36&gt;=N$3),"■","")</f>
        <v/>
      </c>
      <c r="O36" s="28">
        <f>IF(AND($E36&lt;=O$3+6,$F36&gt;=O$3),"■","")</f>
        <v/>
      </c>
    </row>
  </sheetData>
  <autoFilter ref="A4:O36"/>
  <mergeCells count="2">
    <mergeCell ref="A2:H2"/>
    <mergeCell ref="A1:H1"/>
  </mergeCells>
  <conditionalFormatting sqref="G5:G36">
    <cfRule type="expression" priority="1" dxfId="0">
      <formula>G5="Done"</formula>
    </cfRule>
    <cfRule type="expression" priority="2" dxfId="1">
      <formula>G5="Blocked"</formula>
    </cfRule>
  </conditionalFormatting>
  <pageMargins left="0.25" right="0.2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38" customWidth="1" min="4" max="4"/>
    <col width="34" customWidth="1" min="5" max="5"/>
    <col width="34" customWidth="1" min="6" max="6"/>
    <col width="38" customWidth="1" min="7" max="7"/>
    <col width="42" customWidth="1" min="8" max="8"/>
  </cols>
  <sheetData>
    <row r="1" ht="30" customHeight="1">
      <c r="A1" s="1" t="inlineStr">
        <is>
          <t>WEEKLY PLAN &amp; EXIT CRITERIA</t>
        </is>
      </c>
    </row>
    <row r="2" ht="32" customHeight="1">
      <c r="A2" s="2" t="inlineStr">
        <is>
          <t>Use this as sprint planning agenda. Deliverables are proposed targets; confirm with team capacity and client readiness.</t>
        </is>
      </c>
    </row>
    <row r="3"/>
    <row r="4" ht="32" customHeight="1">
      <c r="A4" s="15" t="inlineStr">
        <is>
          <t>Week</t>
        </is>
      </c>
      <c r="B4" s="15" t="inlineStr">
        <is>
          <t>Dates (baseline)</t>
        </is>
      </c>
      <c r="C4" s="15" t="inlineStr">
        <is>
          <t>Primary outcome</t>
        </is>
      </c>
      <c r="D4" s="15" t="inlineStr">
        <is>
          <t>Backend / Data</t>
        </is>
      </c>
      <c r="E4" s="15" t="inlineStr">
        <is>
          <t>Frontend</t>
        </is>
      </c>
      <c r="F4" s="15" t="inlineStr">
        <is>
          <t>QA / Testing</t>
        </is>
      </c>
      <c r="G4" s="15" t="inlineStr">
        <is>
          <t>Client / Product input</t>
        </is>
      </c>
      <c r="H4" s="15" t="inlineStr">
        <is>
          <t>Exit / Demo criteria</t>
        </is>
      </c>
    </row>
    <row r="5" ht="78" customHeight="1">
      <c r="A5" s="30" t="inlineStr">
        <is>
          <t>Day 0</t>
        </is>
      </c>
      <c r="B5" s="30" t="inlineStr">
        <is>
          <t>26-Oct-2026</t>
        </is>
      </c>
      <c r="C5" s="30" t="inlineStr">
        <is>
          <t>Kick-off and remove unknowns</t>
        </is>
      </c>
      <c r="D5" s="30" t="inlineStr">
        <is>
          <t>Repo/API skeleton; data model discovery</t>
        </is>
      </c>
      <c r="E5" s="30" t="inlineStr">
        <is>
          <t>Agree UI shell and API contracts</t>
        </is>
      </c>
      <c r="F5" s="30" t="inlineStr">
        <is>
          <t>Define test strategy and seeded data</t>
        </is>
      </c>
      <c r="G5" s="30" t="inlineStr">
        <is>
          <t>Request samples, rulebook, API docs, source access</t>
        </is>
      </c>
      <c r="H5" s="30" t="inlineStr">
        <is>
          <t>Owners, scope, risks and client requests tracked</t>
        </is>
      </c>
    </row>
    <row r="6" ht="78" customHeight="1">
      <c r="A6" s="21" t="inlineStr">
        <is>
          <t>Week 1</t>
        </is>
      </c>
      <c r="B6" s="21" t="inlineStr">
        <is>
          <t>26-Oct–01-Nov</t>
        </is>
      </c>
      <c r="C6" s="21" t="inlineStr">
        <is>
          <t>Architecture + working skeleton</t>
        </is>
      </c>
      <c r="D6" s="21" t="inlineStr">
        <is>
          <t>FastAPI, Postgres schema draft</t>
        </is>
      </c>
      <c r="E6" s="21" t="inlineStr">
        <is>
          <t>Angular shell/navigation</t>
        </is>
      </c>
      <c r="F6" s="21" t="inlineStr">
        <is>
          <t>CI checks, unit-test scaffold</t>
        </is>
      </c>
      <c r="G6" s="21" t="inlineStr">
        <is>
          <t>Confirm target jurisdiction and data owner</t>
        </is>
      </c>
      <c r="H6" s="21" t="inlineStr">
        <is>
          <t>App builds; API health check; schema/API review</t>
        </is>
      </c>
    </row>
    <row r="7" ht="78" customHeight="1">
      <c r="A7" s="30" t="inlineStr">
        <is>
          <t>Week 2</t>
        </is>
      </c>
      <c r="B7" s="30" t="inlineStr">
        <is>
          <t>02-Nov–08-Nov</t>
        </is>
      </c>
      <c r="C7" s="30" t="inlineStr">
        <is>
          <t>First vertical slice in progress</t>
        </is>
      </c>
      <c r="D7" s="30" t="inlineStr">
        <is>
          <t>Import staging, CRUD APIs, mapping</t>
        </is>
      </c>
      <c r="E7" s="30" t="inlineStr">
        <is>
          <t>Product/packaging list and detail</t>
        </is>
      </c>
      <c r="F7" s="30" t="inlineStr">
        <is>
          <t>Import/CRUD happy and failure cases</t>
        </is>
      </c>
      <c r="G7" s="30" t="inlineStr">
        <is>
          <t>Provide sample files and field meanings</t>
        </is>
      </c>
      <c r="H7" s="30" t="inlineStr">
        <is>
          <t>Demonstrate CSV → DB → API → UI</t>
        </is>
      </c>
    </row>
    <row r="8" ht="78" customHeight="1">
      <c r="A8" s="21" t="inlineStr">
        <is>
          <t>Week 3</t>
        </is>
      </c>
      <c r="B8" s="21" t="inlineStr">
        <is>
          <t>09-Nov–15-Nov</t>
        </is>
      </c>
      <c r="C8" s="21" t="inlineStr">
        <is>
          <t>Data quality and EPR rule discovery</t>
        </is>
      </c>
      <c r="D8" s="21" t="inlineStr">
        <is>
          <t>Validation rules, issue API, rule data model</t>
        </is>
      </c>
      <c r="E8" s="21" t="inlineStr">
        <is>
          <t>Issue queue, filters</t>
        </is>
      </c>
      <c r="F8" s="21" t="inlineStr">
        <is>
          <t>Validation tests and issue test fixtures</t>
        </is>
      </c>
      <c r="G8" s="21" t="inlineStr">
        <is>
          <t>Approve EPR jurisdiction and expected cases</t>
        </is>
      </c>
      <c r="H8" s="21" t="inlineStr">
        <is>
          <t>Issues generated for known invalid rows</t>
        </is>
      </c>
    </row>
    <row r="9" ht="78" customHeight="1">
      <c r="A9" s="30" t="inlineStr">
        <is>
          <t>Week 4</t>
        </is>
      </c>
      <c r="B9" s="30" t="inlineStr">
        <is>
          <t>16-Nov–22-Nov</t>
        </is>
      </c>
      <c r="C9" s="30" t="inlineStr">
        <is>
          <t>Correction workflow</t>
        </is>
      </c>
      <c r="D9" s="30" t="inlineStr">
        <is>
          <t>Correction/approval APIs, audit history</t>
        </is>
      </c>
      <c r="E9" s="30" t="inlineStr">
        <is>
          <t>Correction form/detail</t>
        </is>
      </c>
      <c r="F9" s="30" t="inlineStr">
        <is>
          <t>Workflow integration tests</t>
        </is>
      </c>
      <c r="G9" s="30" t="inlineStr">
        <is>
          <t>SME clarifies exemptions and special cases</t>
        </is>
      </c>
      <c r="H9" s="30" t="inlineStr">
        <is>
          <t>Correction → approval → revalidation demonstrated</t>
        </is>
      </c>
    </row>
    <row r="10" ht="78" customHeight="1">
      <c r="A10" s="21" t="inlineStr">
        <is>
          <t>Week 5</t>
        </is>
      </c>
      <c r="B10" s="21" t="inlineStr">
        <is>
          <t>23-Nov–29-Nov</t>
        </is>
      </c>
      <c r="C10" s="21" t="inlineStr">
        <is>
          <t>EPR engine implementation</t>
        </is>
      </c>
      <c r="D10" s="21" t="inlineStr">
        <is>
          <t>Rule versioning and calculation core</t>
        </is>
      </c>
      <c r="E10" s="21" t="inlineStr">
        <is>
          <t>Calculation page wire-up</t>
        </is>
      </c>
      <c r="F10" s="21" t="inlineStr">
        <is>
          <t>Unit tests and first reconciliation</t>
        </is>
      </c>
      <c r="G10" s="21" t="inlineStr">
        <is>
          <t>Approve rate schedule and 3+ reference cases</t>
        </is>
      </c>
      <c r="H10" s="21" t="inlineStr">
        <is>
          <t>Calculation output explainable against approved rule version</t>
        </is>
      </c>
    </row>
    <row r="11" ht="78" customHeight="1">
      <c r="A11" s="30" t="inlineStr">
        <is>
          <t>Week 6</t>
        </is>
      </c>
      <c r="B11" s="30" t="inlineStr">
        <is>
          <t>30-Nov–06-Dec</t>
        </is>
      </c>
      <c r="C11" s="30" t="inlineStr">
        <is>
          <t>End-to-end EPR results</t>
        </is>
      </c>
      <c r="D11" s="30" t="inlineStr">
        <is>
          <t>Persist runs/results; integration spike findings</t>
        </is>
      </c>
      <c r="E11" s="30" t="inlineStr">
        <is>
          <t>Fee breakdown and run history</t>
        </is>
      </c>
      <c r="F11" s="30" t="inlineStr">
        <is>
          <t>Reconciliation and edge cases</t>
        </is>
      </c>
      <c r="G11" s="30" t="inlineStr">
        <is>
          <t>Client IT helps prove one source connector if possible</t>
        </is>
      </c>
      <c r="H11" s="30" t="inlineStr">
        <is>
          <t>EPR flow works on representative sample</t>
        </is>
      </c>
    </row>
    <row r="12" ht="78" customHeight="1">
      <c r="A12" s="21" t="inlineStr">
        <is>
          <t>Week 7</t>
        </is>
      </c>
      <c r="B12" s="21" t="inlineStr">
        <is>
          <t>07-Dec–13-Dec</t>
        </is>
      </c>
      <c r="C12" s="21" t="inlineStr">
        <is>
          <t>Analytics and hardening</t>
        </is>
      </c>
      <c r="D12" s="21" t="inlineStr">
        <is>
          <t>Hotspot aggregates/scenario endpoint</t>
        </is>
      </c>
      <c r="E12" s="21" t="inlineStr">
        <is>
          <t>Dashboard and scenario compare</t>
        </is>
      </c>
      <c r="F12" s="21" t="inlineStr">
        <is>
          <t>Regression, tenant/permission tests</t>
        </is>
      </c>
      <c r="G12" s="21" t="inlineStr">
        <is>
          <t>Review results and prioritize fixes</t>
        </is>
      </c>
      <c r="H12" s="21" t="inlineStr">
        <is>
          <t>Totals reconcile; scenario assumptions visible</t>
        </is>
      </c>
    </row>
    <row r="13" ht="78" customHeight="1">
      <c r="A13" s="30" t="inlineStr">
        <is>
          <t>Week 8</t>
        </is>
      </c>
      <c r="B13" s="30" t="inlineStr">
        <is>
          <t>14-Dec–20-Dec</t>
        </is>
      </c>
      <c r="C13" s="30" t="inlineStr">
        <is>
          <t>UAT and pilot decision</t>
        </is>
      </c>
      <c r="D13" s="30" t="inlineStr">
        <is>
          <t>Bug fixes and deployment support</t>
        </is>
      </c>
      <c r="E13" s="30" t="inlineStr">
        <is>
          <t>UX polish and demo</t>
        </is>
      </c>
      <c r="F13" s="30" t="inlineStr">
        <is>
          <t>Full regression/UAT evidence</t>
        </is>
      </c>
      <c r="G13" s="30" t="inlineStr">
        <is>
          <t>Stakeholder sign-off and next-phase priorities</t>
        </is>
      </c>
      <c r="H13" s="30" t="inlineStr">
        <is>
          <t>Demo, known limitations, go/no-go and backlog</t>
        </is>
      </c>
    </row>
  </sheetData>
  <mergeCells count="2">
    <mergeCell ref="A2:H2"/>
    <mergeCell ref="A1:H1"/>
  </mergeCells>
  <pageMargins left="0.25" right="0.2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24" customWidth="1" min="4" max="4"/>
    <col width="22" customWidth="1" min="5" max="5"/>
    <col width="16" customWidth="1" min="6" max="6"/>
    <col width="20" customWidth="1" min="7" max="7"/>
    <col width="18" customWidth="1" min="8" max="8"/>
    <col width="42" customWidth="1" min="9" max="9"/>
    <col width="34" customWidth="1" min="10" max="10"/>
  </cols>
  <sheetData>
    <row r="1" ht="30" customHeight="1">
      <c r="A1" s="1" t="inlineStr">
        <is>
          <t>CLIENT DATA &amp; INTEGRATION TRACKER</t>
        </is>
      </c>
    </row>
    <row r="2" ht="32" customHeight="1">
      <c r="A2" s="2" t="inlineStr">
        <is>
          <t>Track what has been requested, received, validated and connected. Integration dates are estimates until client access is confirmed.</t>
        </is>
      </c>
    </row>
    <row r="3"/>
    <row r="4" ht="32" customHeight="1">
      <c r="A4" s="15" t="inlineStr">
        <is>
          <t>ID</t>
        </is>
      </c>
      <c r="B4" s="15" t="inlineStr">
        <is>
          <t>Source / Dataset</t>
        </is>
      </c>
      <c r="C4" s="15" t="inlineStr">
        <is>
          <t>Required fields / scope</t>
        </is>
      </c>
      <c r="D4" s="15" t="inlineStr">
        <is>
          <t>Format / method</t>
        </is>
      </c>
      <c r="E4" s="15" t="inlineStr">
        <is>
          <t>Client owner</t>
        </is>
      </c>
      <c r="F4" s="15" t="inlineStr">
        <is>
          <t>Requested date</t>
        </is>
      </c>
      <c r="G4" s="15" t="inlineStr">
        <is>
          <t>Received / access date</t>
        </is>
      </c>
      <c r="H4" s="15" t="inlineStr">
        <is>
          <t>Status</t>
        </is>
      </c>
      <c r="I4" s="15" t="inlineStr">
        <is>
          <t>Validation / next action</t>
        </is>
      </c>
      <c r="J4" s="15" t="inlineStr">
        <is>
          <t>Risk / dependency</t>
        </is>
      </c>
    </row>
    <row r="5" ht="56" customHeight="1">
      <c r="A5" s="17" t="inlineStr">
        <is>
          <t>D001</t>
        </is>
      </c>
      <c r="B5" s="17" t="inlineStr">
        <is>
          <t>Product master</t>
        </is>
      </c>
      <c r="C5" s="17" t="inlineStr">
        <is>
          <t>SKU, product name, category, brand/owner, source ID</t>
        </is>
      </c>
      <c r="D5" s="17" t="inlineStr">
        <is>
          <t>CSV/Excel or API</t>
        </is>
      </c>
      <c r="E5" s="17" t="inlineStr"/>
      <c r="F5" s="31" t="n">
        <v>46321</v>
      </c>
      <c r="G5" s="17" t="inlineStr"/>
      <c r="H5" s="17" t="inlineStr">
        <is>
          <t>Requested</t>
        </is>
      </c>
      <c r="I5" s="17" t="inlineStr">
        <is>
          <t>Check identifiers and duplicates</t>
        </is>
      </c>
      <c r="J5" s="17" t="inlineStr">
        <is>
          <t>Client data owner</t>
        </is>
      </c>
    </row>
    <row r="6" ht="56" customHeight="1">
      <c r="A6" s="21" t="inlineStr">
        <is>
          <t>D002</t>
        </is>
      </c>
      <c r="B6" s="21" t="inlineStr">
        <is>
          <t>Packaging/BOM</t>
        </is>
      </c>
      <c r="C6" s="21" t="inlineStr">
        <is>
          <t>Component ID, parent SKU, packaging level, material, component weight/unit</t>
        </is>
      </c>
      <c r="D6" s="21" t="inlineStr">
        <is>
          <t>CSV/Excel or API</t>
        </is>
      </c>
      <c r="E6" s="21" t="inlineStr"/>
      <c r="F6" s="32" t="n">
        <v>46321</v>
      </c>
      <c r="G6" s="21" t="inlineStr"/>
      <c r="H6" s="21" t="inlineStr">
        <is>
          <t>Requested</t>
        </is>
      </c>
      <c r="I6" s="21" t="inlineStr">
        <is>
          <t>Confirm component-to-product relationship and units</t>
        </is>
      </c>
      <c r="J6" s="21" t="inlineStr">
        <is>
          <t>Data completeness</t>
        </is>
      </c>
    </row>
    <row r="7" ht="56" customHeight="1">
      <c r="A7" s="17" t="inlineStr">
        <is>
          <t>D003</t>
        </is>
      </c>
      <c r="B7" s="17" t="inlineStr">
        <is>
          <t>Sales / volumes</t>
        </is>
      </c>
      <c r="C7" s="17" t="inlineStr">
        <is>
          <t>SKU, market/jurisdiction, reporting period, units sold</t>
        </is>
      </c>
      <c r="D7" s="17" t="inlineStr">
        <is>
          <t>CSV/Excel or warehouse query</t>
        </is>
      </c>
      <c r="E7" s="17" t="inlineStr"/>
      <c r="F7" s="31" t="n">
        <v>46321</v>
      </c>
      <c r="G7" s="17" t="inlineStr"/>
      <c r="H7" s="17" t="inlineStr">
        <is>
          <t>Requested</t>
        </is>
      </c>
      <c r="I7" s="17" t="inlineStr">
        <is>
          <t>Confirm period and units; no assumptions about market</t>
        </is>
      </c>
      <c r="J7" s="17" t="inlineStr">
        <is>
          <t>Needed for fee calculations</t>
        </is>
      </c>
    </row>
    <row r="8" ht="56" customHeight="1">
      <c r="A8" s="21" t="inlineStr">
        <is>
          <t>D004</t>
        </is>
      </c>
      <c r="B8" s="21" t="inlineStr">
        <is>
          <t>Material taxonomy</t>
        </is>
      </c>
      <c r="C8" s="21" t="inlineStr">
        <is>
          <t>Material codes, categories, subcategories, recyclability fields if applicable</t>
        </is>
      </c>
      <c r="D8" s="21" t="inlineStr">
        <is>
          <t>CSV/Excel</t>
        </is>
      </c>
      <c r="E8" s="21" t="inlineStr"/>
      <c r="F8" s="32" t="n">
        <v>46321</v>
      </c>
      <c r="G8" s="21" t="inlineStr"/>
      <c r="H8" s="21" t="inlineStr">
        <is>
          <t>Requested</t>
        </is>
      </c>
      <c r="I8" s="21" t="inlineStr">
        <is>
          <t>Map source values to canonical vocabulary</t>
        </is>
      </c>
      <c r="J8" s="21" t="inlineStr">
        <is>
          <t>Unknown categories</t>
        </is>
      </c>
    </row>
    <row r="9" ht="56" customHeight="1">
      <c r="A9" s="17" t="inlineStr">
        <is>
          <t>D005</t>
        </is>
      </c>
      <c r="B9" s="17" t="inlineStr">
        <is>
          <t>EPR rulebook / fee rates</t>
        </is>
      </c>
      <c r="C9" s="17" t="inlineStr">
        <is>
          <t>Official fee table, effective dates, adjustments, exemptions and scheme rules</t>
        </is>
      </c>
      <c r="D9" s="17" t="inlineStr">
        <is>
          <t>Approved document/spreadsheet</t>
        </is>
      </c>
      <c r="E9" s="17" t="inlineStr"/>
      <c r="F9" s="31" t="n">
        <v>46321</v>
      </c>
      <c r="G9" s="17" t="inlineStr"/>
      <c r="H9" s="17" t="inlineStr">
        <is>
          <t>Requested</t>
        </is>
      </c>
      <c r="I9" s="17" t="inlineStr">
        <is>
          <t>Regulatory SME/client signs off interpretation</t>
        </is>
      </c>
      <c r="J9" s="17" t="inlineStr">
        <is>
          <t>Critical calculation dependency</t>
        </is>
      </c>
    </row>
    <row r="10" ht="56" customHeight="1">
      <c r="A10" s="21" t="inlineStr">
        <is>
          <t>D006</t>
        </is>
      </c>
      <c r="B10" s="21" t="inlineStr">
        <is>
          <t>Reference calculation cases</t>
        </is>
      </c>
      <c r="C10" s="21" t="inlineStr">
        <is>
          <t>At least 3 representative products with expected fee breakdown and totals</t>
        </is>
      </c>
      <c r="D10" s="21" t="inlineStr">
        <is>
          <t>Spreadsheet / approved examples</t>
        </is>
      </c>
      <c r="E10" s="21" t="inlineStr"/>
      <c r="F10" s="32" t="n">
        <v>46321</v>
      </c>
      <c r="G10" s="21" t="inlineStr"/>
      <c r="H10" s="21" t="inlineStr">
        <is>
          <t>Requested</t>
        </is>
      </c>
      <c r="I10" s="21" t="inlineStr">
        <is>
          <t>Turn into automated regression tests</t>
        </is>
      </c>
      <c r="J10" s="21" t="inlineStr">
        <is>
          <t>Critical acceptance gate</t>
        </is>
      </c>
    </row>
    <row r="11" ht="56" customHeight="1">
      <c r="A11" s="17" t="inlineStr">
        <is>
          <t>D007</t>
        </is>
      </c>
      <c r="B11" s="17" t="inlineStr">
        <is>
          <t>ERP integration</t>
        </is>
      </c>
      <c r="C11" s="17" t="inlineStr">
        <is>
          <t>Product/BOM endpoints, auth, sandbox, pagination, rate limits, API version</t>
        </is>
      </c>
      <c r="D11" s="17" t="inlineStr">
        <is>
          <t>API documentation + sandbox</t>
        </is>
      </c>
      <c r="E11" s="17" t="inlineStr"/>
      <c r="F11" s="31" t="n">
        <v>46321</v>
      </c>
      <c r="G11" s="17" t="inlineStr"/>
      <c r="H11" s="17" t="inlineStr">
        <is>
          <t>To Verify</t>
        </is>
      </c>
      <c r="I11" s="17" t="inlineStr">
        <is>
          <t>Prove read-only access and field mapping</t>
        </is>
      </c>
      <c r="J11" s="17" t="inlineStr">
        <is>
          <t>Vendor/client IT availability</t>
        </is>
      </c>
    </row>
    <row r="12" ht="56" customHeight="1">
      <c r="A12" s="21" t="inlineStr">
        <is>
          <t>D008</t>
        </is>
      </c>
      <c r="B12" s="21" t="inlineStr">
        <is>
          <t>PLM / Trace One</t>
        </is>
      </c>
      <c r="C12" s="21" t="inlineStr">
        <is>
          <t>Product specifications, packaging attributes, API/export options</t>
        </is>
      </c>
      <c r="D12" s="21" t="inlineStr">
        <is>
          <t>API docs / export</t>
        </is>
      </c>
      <c r="E12" s="21" t="inlineStr"/>
      <c r="F12" s="32" t="n">
        <v>46321</v>
      </c>
      <c r="G12" s="21" t="inlineStr"/>
      <c r="H12" s="21" t="inlineStr">
        <is>
          <t>To Verify</t>
        </is>
      </c>
      <c r="I12" s="21" t="inlineStr">
        <is>
          <t>Verify product/API access and data scope</t>
        </is>
      </c>
      <c r="J12" s="21" t="inlineStr">
        <is>
          <t>Access and license</t>
        </is>
      </c>
    </row>
    <row r="13" ht="56" customHeight="1">
      <c r="A13" s="17" t="inlineStr">
        <is>
          <t>D009</t>
        </is>
      </c>
      <c r="B13" s="17" t="inlineStr">
        <is>
          <t>Snowflake / warehouse</t>
        </is>
      </c>
      <c r="C13" s="17" t="inlineStr">
        <is>
          <t>Relevant tables/views, service account, network access, query permissions</t>
        </is>
      </c>
      <c r="D13" s="17" t="inlineStr">
        <is>
          <t>Read-only query / export</t>
        </is>
      </c>
      <c r="E13" s="17" t="inlineStr"/>
      <c r="F13" s="31" t="n">
        <v>46321</v>
      </c>
      <c r="G13" s="17" t="inlineStr"/>
      <c r="H13" s="17" t="inlineStr">
        <is>
          <t>To Verify</t>
        </is>
      </c>
      <c r="I13" s="17" t="inlineStr">
        <is>
          <t>Confirm warehouse ownership and refresh cadence</t>
        </is>
      </c>
      <c r="J13" s="17" t="inlineStr">
        <is>
          <t>Security/network approval</t>
        </is>
      </c>
    </row>
    <row r="14" ht="56" customHeight="1">
      <c r="A14" s="21" t="inlineStr">
        <is>
          <t>D010</t>
        </is>
      </c>
      <c r="B14" s="21" t="inlineStr">
        <is>
          <t>Identity provider</t>
        </is>
      </c>
      <c r="C14" s="21" t="inlineStr">
        <is>
          <t>OIDC metadata, client registration, roles/claims</t>
        </is>
      </c>
      <c r="D14" s="21" t="inlineStr">
        <is>
          <t>OIDC configuration</t>
        </is>
      </c>
      <c r="E14" s="21" t="inlineStr"/>
      <c r="F14" s="32" t="n">
        <v>46321</v>
      </c>
      <c r="G14" s="21" t="inlineStr"/>
      <c r="H14" s="21" t="inlineStr">
        <is>
          <t>To Verify</t>
        </is>
      </c>
      <c r="I14" s="21" t="inlineStr">
        <is>
          <t>Use company-approved identity provider</t>
        </is>
      </c>
      <c r="J14" s="21" t="inlineStr">
        <is>
          <t>Security team</t>
        </is>
      </c>
    </row>
  </sheetData>
  <autoFilter ref="A4:J14"/>
  <mergeCells count="2">
    <mergeCell ref="A2:H2"/>
    <mergeCell ref="A1:H1"/>
  </mergeCells>
  <dataValidations count="1">
    <dataValidation sqref="H5:H14" showDropDown="0" showInputMessage="0" showErrorMessage="0" allowBlank="1" type="list">
      <formula1>"Not Requested,Requested,Received,Validating,Validated,To Verify,Blocked"</formula1>
    </dataValidation>
  </dataValidations>
  <pageMargins left="0.25" right="0.2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34" customWidth="1" min="4" max="4"/>
    <col width="52" customWidth="1" min="5" max="5"/>
    <col width="28" customWidth="1" min="6" max="6"/>
    <col width="16" customWidth="1" min="7" max="7"/>
    <col width="16" customWidth="1" min="8" max="8"/>
    <col width="36" customWidth="1" min="9" max="9"/>
  </cols>
  <sheetData>
    <row r="1" ht="30" customHeight="1">
      <c r="A1" s="1" t="inlineStr">
        <is>
          <t>RISKS, ASSUMPTIONS &amp; DECISIONS</t>
        </is>
      </c>
    </row>
    <row r="2" ht="32" customHeight="1">
      <c r="A2" s="2" t="inlineStr">
        <is>
          <t>Update status and owners during weekly governance. Open risks should have a next action and due date.</t>
        </is>
      </c>
    </row>
    <row r="3"/>
    <row r="4" ht="32" customHeight="1">
      <c r="A4" s="15" t="inlineStr">
        <is>
          <t>ID</t>
        </is>
      </c>
      <c r="B4" s="15" t="inlineStr">
        <is>
          <t>Type</t>
        </is>
      </c>
      <c r="C4" s="15" t="inlineStr">
        <is>
          <t>Risk / decision</t>
        </is>
      </c>
      <c r="D4" s="15" t="inlineStr">
        <is>
          <t>Impact</t>
        </is>
      </c>
      <c r="E4" s="15" t="inlineStr">
        <is>
          <t>Mitigation / next action</t>
        </is>
      </c>
      <c r="F4" s="15" t="inlineStr">
        <is>
          <t>Owner</t>
        </is>
      </c>
      <c r="G4" s="15" t="inlineStr">
        <is>
          <t>Due date</t>
        </is>
      </c>
      <c r="H4" s="15" t="inlineStr">
        <is>
          <t>Status</t>
        </is>
      </c>
      <c r="I4" s="15" t="inlineStr">
        <is>
          <t>Decision / evidence</t>
        </is>
      </c>
    </row>
    <row r="5" ht="58" customHeight="1">
      <c r="A5" s="17" t="inlineStr">
        <is>
          <t>R001</t>
        </is>
      </c>
      <c r="B5" s="17" t="inlineStr">
        <is>
          <t>Risk</t>
        </is>
      </c>
      <c r="C5" s="17" t="inlineStr">
        <is>
          <t>Client ERP/PLM API access or docs arrive late</t>
        </is>
      </c>
      <c r="D5" s="17" t="inlineStr">
        <is>
          <t>Live integration cannot be completed on planned timeline</t>
        </is>
      </c>
      <c r="E5" s="17" t="inlineStr">
        <is>
          <t>Use CSV/mock API while client IT confirms access; scope one connector only</t>
        </is>
      </c>
      <c r="F5" s="17" t="inlineStr">
        <is>
          <t>Solution Architect / Client IT</t>
        </is>
      </c>
      <c r="G5" s="31" t="n">
        <v>46332</v>
      </c>
      <c r="H5" s="17" t="inlineStr">
        <is>
          <t>Open</t>
        </is>
      </c>
      <c r="I5" s="17" t="inlineStr"/>
    </row>
    <row r="6" ht="58" customHeight="1">
      <c r="A6" s="21" t="inlineStr">
        <is>
          <t>R002</t>
        </is>
      </c>
      <c r="B6" s="21" t="inlineStr">
        <is>
          <t>Risk</t>
        </is>
      </c>
      <c r="C6" s="21" t="inlineStr">
        <is>
          <t>No approved jurisdiction/rule schedule</t>
        </is>
      </c>
      <c r="D6" s="21" t="inlineStr">
        <is>
          <t>EPR calculation cannot be validated</t>
        </is>
      </c>
      <c r="E6" s="21" t="inlineStr">
        <is>
          <t>Obtain SME-approved fee schedule and reference cases before engine sign-off</t>
        </is>
      </c>
      <c r="F6" s="21" t="inlineStr">
        <is>
          <t>Product Owner / Regulatory SME</t>
        </is>
      </c>
      <c r="G6" s="32" t="n">
        <v>46346</v>
      </c>
      <c r="H6" s="21" t="inlineStr">
        <is>
          <t>Open</t>
        </is>
      </c>
      <c r="I6" s="21" t="inlineStr"/>
    </row>
    <row r="7" ht="58" customHeight="1">
      <c r="A7" s="17" t="inlineStr">
        <is>
          <t>R003</t>
        </is>
      </c>
      <c r="B7" s="17" t="inlineStr">
        <is>
          <t>Risk</t>
        </is>
      </c>
      <c r="C7" s="17" t="inlineStr">
        <is>
          <t>Sample data incomplete or inconsistent</t>
        </is>
      </c>
      <c r="D7" s="17" t="inlineStr">
        <is>
          <t>Import and quality workflow scope expands</t>
        </is>
      </c>
      <c r="E7" s="17" t="inlineStr">
        <is>
          <t>Profile data in Week 1; agree a representative demo subset</t>
        </is>
      </c>
      <c r="F7" s="17" t="inlineStr">
        <is>
          <t>Data Engineer / Client Data Owner</t>
        </is>
      </c>
      <c r="G7" s="31" t="n">
        <v>46332</v>
      </c>
      <c r="H7" s="17" t="inlineStr">
        <is>
          <t>Open</t>
        </is>
      </c>
      <c r="I7" s="17" t="inlineStr"/>
    </row>
    <row r="8" ht="58" customHeight="1">
      <c r="A8" s="21" t="inlineStr">
        <is>
          <t>R004</t>
        </is>
      </c>
      <c r="B8" s="21" t="inlineStr">
        <is>
          <t>Risk</t>
        </is>
      </c>
      <c r="C8" s="21" t="inlineStr">
        <is>
          <t>Team capacity less than assumed</t>
        </is>
      </c>
      <c r="D8" s="21" t="inlineStr">
        <is>
          <t>8-week target may slip</t>
        </is>
      </c>
      <c r="E8" s="21" t="inlineStr">
        <is>
          <t>Assign named owners; reduce scope to one jurisdiction and no write-back</t>
        </is>
      </c>
      <c r="F8" s="21" t="inlineStr">
        <is>
          <t>Project Lead</t>
        </is>
      </c>
      <c r="G8" s="32" t="n">
        <v>46325</v>
      </c>
      <c r="H8" s="21" t="inlineStr">
        <is>
          <t>Open</t>
        </is>
      </c>
      <c r="I8" s="21" t="inlineStr"/>
    </row>
    <row r="9" ht="58" customHeight="1">
      <c r="A9" s="17" t="inlineStr">
        <is>
          <t>R005</t>
        </is>
      </c>
      <c r="B9" s="17" t="inlineStr">
        <is>
          <t>Risk</t>
        </is>
      </c>
      <c r="C9" s="17" t="inlineStr">
        <is>
          <t>Cross-tenant data leakage</t>
        </is>
      </c>
      <c r="D9" s="17" t="inlineStr">
        <is>
          <t>Severe security incident</t>
        </is>
      </c>
      <c r="E9" s="17" t="inlineStr">
        <is>
          <t>Implement tenant checks at API/DB layer and test negative access paths</t>
        </is>
      </c>
      <c r="F9" s="17" t="inlineStr">
        <is>
          <t>Backend Lead / QA</t>
        </is>
      </c>
      <c r="G9" s="31" t="n">
        <v>46367</v>
      </c>
      <c r="H9" s="17" t="inlineStr">
        <is>
          <t>Open</t>
        </is>
      </c>
      <c r="I9" s="17" t="inlineStr"/>
    </row>
    <row r="10" ht="58" customHeight="1">
      <c r="A10" s="21" t="inlineStr">
        <is>
          <t>R006</t>
        </is>
      </c>
      <c r="B10" s="21" t="inlineStr">
        <is>
          <t>Assumption</t>
        </is>
      </c>
      <c r="C10" s="21" t="inlineStr">
        <is>
          <t>CSV/Excel import is acceptable for MVP</t>
        </is>
      </c>
      <c r="D10" s="21" t="inlineStr">
        <is>
          <t>Can start development without source APIs</t>
        </is>
      </c>
      <c r="E10" s="21" t="inlineStr">
        <is>
          <t>Confirm with client in Day 0 kick-off</t>
        </is>
      </c>
      <c r="F10" s="21" t="inlineStr">
        <is>
          <t>Product Owner</t>
        </is>
      </c>
      <c r="G10" s="32" t="n">
        <v>46322</v>
      </c>
      <c r="H10" s="21" t="inlineStr">
        <is>
          <t>Open</t>
        </is>
      </c>
      <c r="I10" s="21" t="inlineStr"/>
    </row>
    <row r="11" ht="58" customHeight="1">
      <c r="A11" s="17" t="inlineStr">
        <is>
          <t>R007</t>
        </is>
      </c>
      <c r="B11" s="17" t="inlineStr">
        <is>
          <t>Decision</t>
        </is>
      </c>
      <c r="C11" s="17" t="inlineStr">
        <is>
          <t>Select first EPR jurisdiction</t>
        </is>
      </c>
      <c r="D11" s="17" t="inlineStr">
        <is>
          <t>Defines first rule model and tests</t>
        </is>
      </c>
      <c r="E11" s="17" t="inlineStr">
        <is>
          <t>Record selected country/scheme and reporting year here</t>
        </is>
      </c>
      <c r="F11" s="17" t="inlineStr">
        <is>
          <t>Client Product Owner / SME</t>
        </is>
      </c>
      <c r="G11" s="31" t="n">
        <v>46325</v>
      </c>
      <c r="H11" s="17" t="inlineStr">
        <is>
          <t>Pending</t>
        </is>
      </c>
      <c r="I11" s="17" t="inlineStr"/>
    </row>
    <row r="12" ht="58" customHeight="1">
      <c r="A12" s="21" t="inlineStr">
        <is>
          <t>R008</t>
        </is>
      </c>
      <c r="B12" s="21" t="inlineStr">
        <is>
          <t>Decision</t>
        </is>
      </c>
      <c r="C12" s="21" t="inlineStr">
        <is>
          <t>Choose tenant isolation pattern</t>
        </is>
      </c>
      <c r="D12" s="21" t="inlineStr">
        <is>
          <t>Affects schema and authorization</t>
        </is>
      </c>
      <c r="E12" s="21" t="inlineStr">
        <is>
          <t>Recommend organization_id + enforced row-level security for initial shared DB; validate with security review</t>
        </is>
      </c>
      <c r="F12" s="21" t="inlineStr">
        <is>
          <t>Solution Architect</t>
        </is>
      </c>
      <c r="G12" s="32" t="n">
        <v>46332</v>
      </c>
      <c r="H12" s="21" t="inlineStr">
        <is>
          <t>Pending</t>
        </is>
      </c>
      <c r="I12" s="21" t="inlineStr"/>
    </row>
    <row r="13" ht="58" customHeight="1">
      <c r="A13" s="17" t="inlineStr">
        <is>
          <t>R009</t>
        </is>
      </c>
      <c r="B13" s="17" t="inlineStr">
        <is>
          <t>Decision</t>
        </is>
      </c>
      <c r="C13" s="17" t="inlineStr">
        <is>
          <t>Confirm hosting/cloud and identity provider</t>
        </is>
      </c>
      <c r="D13" s="17" t="inlineStr">
        <is>
          <t>Affects deployment and authentication setup</t>
        </is>
      </c>
      <c r="E13" s="17" t="inlineStr">
        <is>
          <t>Prefer client's existing cloud/identity where feasible; otherwise compare cost/security</t>
        </is>
      </c>
      <c r="F13" s="17" t="inlineStr">
        <is>
          <t>DevOps / Client IT</t>
        </is>
      </c>
      <c r="G13" s="31" t="n">
        <v>46332</v>
      </c>
      <c r="H13" s="17" t="inlineStr">
        <is>
          <t>Pending</t>
        </is>
      </c>
      <c r="I13" s="17" t="inlineStr"/>
    </row>
    <row r="14" ht="58" customHeight="1">
      <c r="A14" s="21" t="inlineStr">
        <is>
          <t>R010</t>
        </is>
      </c>
      <c r="B14" s="21" t="inlineStr">
        <is>
          <t>Assumption</t>
        </is>
      </c>
      <c r="C14" s="21" t="inlineStr">
        <is>
          <t>No source-system write-back in initial MVP</t>
        </is>
      </c>
      <c r="D14" s="21" t="inlineStr">
        <is>
          <t>Avoids source-system mutation and permissions complexity</t>
        </is>
      </c>
      <c r="E14" s="21" t="inlineStr">
        <is>
          <t>Store approved corrections in Monkspaces; consider write-back in a later phase</t>
        </is>
      </c>
      <c r="F14" s="21" t="inlineStr">
        <is>
          <t>Product Owner / Client IT</t>
        </is>
      </c>
      <c r="G14" s="32" t="n">
        <v>46325</v>
      </c>
      <c r="H14" s="21" t="inlineStr">
        <is>
          <t>Open</t>
        </is>
      </c>
      <c r="I14" s="21" t="inlineStr"/>
    </row>
  </sheetData>
  <autoFilter ref="A4:I14"/>
  <mergeCells count="2">
    <mergeCell ref="A2:H2"/>
    <mergeCell ref="A1:H1"/>
  </mergeCells>
  <dataValidations count="1">
    <dataValidation sqref="H5:H14" showDropDown="0" showInputMessage="0" showErrorMessage="0" allowBlank="1" type="list">
      <formula1>"Open,In Progress,Resolved,Accepted,Pending,Decided"</formula1>
    </dataValidation>
  </dataValidations>
  <pageMargins left="0.25" right="0.2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54" customWidth="1" min="4" max="4"/>
    <col width="20" customWidth="1" min="5" max="5"/>
    <col width="14" customWidth="1" min="6" max="6"/>
    <col width="2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TEST PLAN &amp; DEFECT TRACKER</t>
        </is>
      </c>
    </row>
    <row r="2" ht="32" customHeight="1">
      <c r="A2" s="2" t="inlineStr">
        <is>
          <t>Start testing from Day 0. Add cases as the schema, validation rules and EPR rules become known.</t>
        </is>
      </c>
    </row>
    <row r="3"/>
    <row r="4" ht="32" customHeight="1">
      <c r="A4" s="15" t="inlineStr">
        <is>
          <t>Test ID</t>
        </is>
      </c>
      <c r="B4" s="15" t="inlineStr">
        <is>
          <t>Area</t>
        </is>
      </c>
      <c r="C4" s="15" t="inlineStr">
        <is>
          <t>Scenario</t>
        </is>
      </c>
      <c r="D4" s="15" t="inlineStr">
        <is>
          <t>Expected result</t>
        </is>
      </c>
      <c r="E4" s="15" t="inlineStr">
        <is>
          <t>Type</t>
        </is>
      </c>
      <c r="F4" s="15" t="inlineStr">
        <is>
          <t>Priority</t>
        </is>
      </c>
      <c r="G4" s="15" t="inlineStr">
        <is>
          <t>Owner</t>
        </is>
      </c>
      <c r="H4" s="15" t="inlineStr">
        <is>
          <t>Status</t>
        </is>
      </c>
      <c r="I4" s="15" t="inlineStr">
        <is>
          <t>Actual result / evidence</t>
        </is>
      </c>
      <c r="J4" s="15" t="inlineStr">
        <is>
          <t>Defect ID</t>
        </is>
      </c>
    </row>
    <row r="5" ht="50" customHeight="1">
      <c r="A5" s="17" t="inlineStr">
        <is>
          <t>TC001</t>
        </is>
      </c>
      <c r="B5" s="17" t="inlineStr">
        <is>
          <t>Import</t>
        </is>
      </c>
      <c r="C5" s="17" t="inlineStr">
        <is>
          <t>Upload valid product/packaging CSV</t>
        </is>
      </c>
      <c r="D5" s="17" t="inlineStr">
        <is>
          <t>Records staged and imported; row counts visible</t>
        </is>
      </c>
      <c r="E5" s="17" t="inlineStr">
        <is>
          <t>Integration</t>
        </is>
      </c>
      <c r="F5" s="17" t="inlineStr">
        <is>
          <t>Critical</t>
        </is>
      </c>
      <c r="G5" s="17" t="inlineStr"/>
      <c r="H5" s="17" t="inlineStr">
        <is>
          <t>Not Started</t>
        </is>
      </c>
      <c r="I5" s="17" t="inlineStr"/>
      <c r="J5" s="17" t="inlineStr"/>
    </row>
    <row r="6" ht="50" customHeight="1">
      <c r="A6" s="21" t="inlineStr">
        <is>
          <t>TC002</t>
        </is>
      </c>
      <c r="B6" s="21" t="inlineStr">
        <is>
          <t>Import</t>
        </is>
      </c>
      <c r="C6" s="21" t="inlineStr">
        <is>
          <t>Upload file with missing required column</t>
        </is>
      </c>
      <c r="D6" s="21" t="inlineStr">
        <is>
          <t>Import rejected with actionable error; no silent partial import</t>
        </is>
      </c>
      <c r="E6" s="21" t="inlineStr">
        <is>
          <t>Negative</t>
        </is>
      </c>
      <c r="F6" s="21" t="inlineStr">
        <is>
          <t>High</t>
        </is>
      </c>
      <c r="G6" s="21" t="inlineStr"/>
      <c r="H6" s="21" t="inlineStr">
        <is>
          <t>Not Started</t>
        </is>
      </c>
      <c r="I6" s="21" t="inlineStr"/>
      <c r="J6" s="21" t="inlineStr"/>
    </row>
    <row r="7" ht="50" customHeight="1">
      <c r="A7" s="17" t="inlineStr">
        <is>
          <t>TC003</t>
        </is>
      </c>
      <c r="B7" s="17" t="inlineStr">
        <is>
          <t>Normalization</t>
        </is>
      </c>
      <c r="C7" s="17" t="inlineStr">
        <is>
          <t>Weight values in g and kg</t>
        </is>
      </c>
      <c r="D7" s="17" t="inlineStr">
        <is>
          <t>Normalized value is correct and original unit/source preserved</t>
        </is>
      </c>
      <c r="E7" s="17" t="inlineStr">
        <is>
          <t>Unit</t>
        </is>
      </c>
      <c r="F7" s="17" t="inlineStr">
        <is>
          <t>Critical</t>
        </is>
      </c>
      <c r="G7" s="17" t="inlineStr"/>
      <c r="H7" s="17" t="inlineStr">
        <is>
          <t>Not Started</t>
        </is>
      </c>
      <c r="I7" s="17" t="inlineStr"/>
      <c r="J7" s="17" t="inlineStr"/>
    </row>
    <row r="8" ht="50" customHeight="1">
      <c r="A8" s="21" t="inlineStr">
        <is>
          <t>TC004</t>
        </is>
      </c>
      <c r="B8" s="21" t="inlineStr">
        <is>
          <t>Data quality</t>
        </is>
      </c>
      <c r="C8" s="21" t="inlineStr">
        <is>
          <t>Missing packaging weight</t>
        </is>
      </c>
      <c r="D8" s="21" t="inlineStr">
        <is>
          <t>Data issue created with field, severity and affected record</t>
        </is>
      </c>
      <c r="E8" s="21" t="inlineStr">
        <is>
          <t>Integration</t>
        </is>
      </c>
      <c r="F8" s="21" t="inlineStr">
        <is>
          <t>Critical</t>
        </is>
      </c>
      <c r="G8" s="21" t="inlineStr"/>
      <c r="H8" s="21" t="inlineStr">
        <is>
          <t>Not Started</t>
        </is>
      </c>
      <c r="I8" s="21" t="inlineStr"/>
      <c r="J8" s="21" t="inlineStr"/>
    </row>
    <row r="9" ht="50" customHeight="1">
      <c r="A9" s="17" t="inlineStr">
        <is>
          <t>TC005</t>
        </is>
      </c>
      <c r="B9" s="17" t="inlineStr">
        <is>
          <t>Workflow</t>
        </is>
      </c>
      <c r="C9" s="17" t="inlineStr">
        <is>
          <t>Submit correction then approve</t>
        </is>
      </c>
      <c r="D9" s="17" t="inlineStr">
        <is>
          <t>New value applied; before/after and approver recorded; validation reruns</t>
        </is>
      </c>
      <c r="E9" s="17" t="inlineStr">
        <is>
          <t>Integration</t>
        </is>
      </c>
      <c r="F9" s="17" t="inlineStr">
        <is>
          <t>Critical</t>
        </is>
      </c>
      <c r="G9" s="17" t="inlineStr"/>
      <c r="H9" s="17" t="inlineStr">
        <is>
          <t>Not Started</t>
        </is>
      </c>
      <c r="I9" s="17" t="inlineStr"/>
      <c r="J9" s="17" t="inlineStr"/>
    </row>
    <row r="10" ht="50" customHeight="1">
      <c r="A10" s="21" t="inlineStr">
        <is>
          <t>TC006</t>
        </is>
      </c>
      <c r="B10" s="21" t="inlineStr">
        <is>
          <t>Workflow</t>
        </is>
      </c>
      <c r="C10" s="21" t="inlineStr">
        <is>
          <t>Unauthorized user tries to approve correction</t>
        </is>
      </c>
      <c r="D10" s="21" t="inlineStr">
        <is>
          <t>API denies action and records appropriate security event</t>
        </is>
      </c>
      <c r="E10" s="21" t="inlineStr">
        <is>
          <t>Security</t>
        </is>
      </c>
      <c r="F10" s="21" t="inlineStr">
        <is>
          <t>Critical</t>
        </is>
      </c>
      <c r="G10" s="21" t="inlineStr"/>
      <c r="H10" s="21" t="inlineStr">
        <is>
          <t>Not Started</t>
        </is>
      </c>
      <c r="I10" s="21" t="inlineStr"/>
      <c r="J10" s="21" t="inlineStr"/>
    </row>
    <row r="11" ht="50" customHeight="1">
      <c r="A11" s="17" t="inlineStr">
        <is>
          <t>TC007</t>
        </is>
      </c>
      <c r="B11" s="17" t="inlineStr">
        <is>
          <t>Tenant security</t>
        </is>
      </c>
      <c r="C11" s="17" t="inlineStr">
        <is>
          <t>Tenant A requests Tenant B product ID</t>
        </is>
      </c>
      <c r="D11" s="17" t="inlineStr">
        <is>
          <t>Access denied or non-disclosing not-found response</t>
        </is>
      </c>
      <c r="E11" s="17" t="inlineStr">
        <is>
          <t>Security</t>
        </is>
      </c>
      <c r="F11" s="17" t="inlineStr">
        <is>
          <t>Critical</t>
        </is>
      </c>
      <c r="G11" s="17" t="inlineStr"/>
      <c r="H11" s="17" t="inlineStr">
        <is>
          <t>Not Started</t>
        </is>
      </c>
      <c r="I11" s="17" t="inlineStr"/>
      <c r="J11" s="17" t="inlineStr"/>
    </row>
    <row r="12" ht="50" customHeight="1">
      <c r="A12" s="21" t="inlineStr">
        <is>
          <t>TC008</t>
        </is>
      </c>
      <c r="B12" s="21" t="inlineStr">
        <is>
          <t>EPR</t>
        </is>
      </c>
      <c r="C12" s="21" t="inlineStr">
        <is>
          <t>Approved reference case 1</t>
        </is>
      </c>
      <c r="D12" s="21" t="inlineStr">
        <is>
          <t>Calculated total and line items match SME-approved expected result</t>
        </is>
      </c>
      <c r="E12" s="21" t="inlineStr">
        <is>
          <t>Reconciliation</t>
        </is>
      </c>
      <c r="F12" s="21" t="inlineStr">
        <is>
          <t>Critical</t>
        </is>
      </c>
      <c r="G12" s="21" t="inlineStr"/>
      <c r="H12" s="21" t="inlineStr">
        <is>
          <t>Not Started</t>
        </is>
      </c>
      <c r="I12" s="21" t="inlineStr"/>
      <c r="J12" s="21" t="inlineStr"/>
    </row>
    <row r="13" ht="50" customHeight="1">
      <c r="A13" s="17" t="inlineStr">
        <is>
          <t>TC009</t>
        </is>
      </c>
      <c r="B13" s="17" t="inlineStr">
        <is>
          <t>EPR</t>
        </is>
      </c>
      <c r="C13" s="17" t="inlineStr">
        <is>
          <t>Approved reference case 2</t>
        </is>
      </c>
      <c r="D13" s="17" t="inlineStr">
        <is>
          <t>Calculated total and line items match SME-approved expected result</t>
        </is>
      </c>
      <c r="E13" s="17" t="inlineStr">
        <is>
          <t>Reconciliation</t>
        </is>
      </c>
      <c r="F13" s="17" t="inlineStr">
        <is>
          <t>Critical</t>
        </is>
      </c>
      <c r="G13" s="17" t="inlineStr"/>
      <c r="H13" s="17" t="inlineStr">
        <is>
          <t>Not Started</t>
        </is>
      </c>
      <c r="I13" s="17" t="inlineStr"/>
      <c r="J13" s="17" t="inlineStr"/>
    </row>
    <row r="14" ht="50" customHeight="1">
      <c r="A14" s="21" t="inlineStr">
        <is>
          <t>TC010</t>
        </is>
      </c>
      <c r="B14" s="21" t="inlineStr">
        <is>
          <t>EPR</t>
        </is>
      </c>
      <c r="C14" s="21" t="inlineStr">
        <is>
          <t>Approved reference case 3</t>
        </is>
      </c>
      <c r="D14" s="21" t="inlineStr">
        <is>
          <t>Calculated total and line items match SME-approved expected result</t>
        </is>
      </c>
      <c r="E14" s="21" t="inlineStr">
        <is>
          <t>Reconciliation</t>
        </is>
      </c>
      <c r="F14" s="21" t="inlineStr">
        <is>
          <t>Critical</t>
        </is>
      </c>
      <c r="G14" s="21" t="inlineStr"/>
      <c r="H14" s="21" t="inlineStr">
        <is>
          <t>Not Started</t>
        </is>
      </c>
      <c r="I14" s="21" t="inlineStr"/>
      <c r="J14" s="21" t="inlineStr"/>
    </row>
    <row r="15" ht="50" customHeight="1">
      <c r="A15" s="17" t="inlineStr">
        <is>
          <t>TC011</t>
        </is>
      </c>
      <c r="B15" s="17" t="inlineStr">
        <is>
          <t>EPR</t>
        </is>
      </c>
      <c r="C15" s="17" t="inlineStr">
        <is>
          <t>Required input missing</t>
        </is>
      </c>
      <c r="D15" s="17" t="inlineStr">
        <is>
          <t>Record excluded/flagged with reason; not silently assigned zero fee</t>
        </is>
      </c>
      <c r="E15" s="17" t="inlineStr">
        <is>
          <t>Negative</t>
        </is>
      </c>
      <c r="F15" s="17" t="inlineStr">
        <is>
          <t>Critical</t>
        </is>
      </c>
      <c r="G15" s="17" t="inlineStr"/>
      <c r="H15" s="17" t="inlineStr">
        <is>
          <t>Not Started</t>
        </is>
      </c>
      <c r="I15" s="17" t="inlineStr"/>
      <c r="J15" s="17" t="inlineStr"/>
    </row>
    <row r="16" ht="50" customHeight="1">
      <c r="A16" s="21" t="inlineStr">
        <is>
          <t>TC012</t>
        </is>
      </c>
      <c r="B16" s="21" t="inlineStr">
        <is>
          <t>EPR</t>
        </is>
      </c>
      <c r="C16" s="21" t="inlineStr">
        <is>
          <t>Repeat calculation with same input and rule version</t>
        </is>
      </c>
      <c r="D16" s="21" t="inlineStr">
        <is>
          <t>Same output is reproducible and linked to same rule version</t>
        </is>
      </c>
      <c r="E16" s="21" t="inlineStr">
        <is>
          <t>Regression</t>
        </is>
      </c>
      <c r="F16" s="21" t="inlineStr">
        <is>
          <t>High</t>
        </is>
      </c>
      <c r="G16" s="21" t="inlineStr"/>
      <c r="H16" s="21" t="inlineStr">
        <is>
          <t>Not Started</t>
        </is>
      </c>
      <c r="I16" s="21" t="inlineStr"/>
      <c r="J16" s="21" t="inlineStr"/>
    </row>
    <row r="17" ht="50" customHeight="1">
      <c r="A17" s="17" t="inlineStr">
        <is>
          <t>TC013</t>
        </is>
      </c>
      <c r="B17" s="17" t="inlineStr">
        <is>
          <t>Analytics</t>
        </is>
      </c>
      <c r="C17" s="17" t="inlineStr">
        <is>
          <t>Hotspot aggregation</t>
        </is>
      </c>
      <c r="D17" s="17" t="inlineStr">
        <is>
          <t>Sum of grouped values reconciles to selected calculation total</t>
        </is>
      </c>
      <c r="E17" s="17" t="inlineStr">
        <is>
          <t>Integration</t>
        </is>
      </c>
      <c r="F17" s="17" t="inlineStr">
        <is>
          <t>High</t>
        </is>
      </c>
      <c r="G17" s="17" t="inlineStr"/>
      <c r="H17" s="17" t="inlineStr">
        <is>
          <t>Not Started</t>
        </is>
      </c>
      <c r="I17" s="17" t="inlineStr"/>
      <c r="J17" s="17" t="inlineStr"/>
    </row>
    <row r="18" ht="50" customHeight="1">
      <c r="A18" s="21" t="inlineStr">
        <is>
          <t>TC014</t>
        </is>
      </c>
      <c r="B18" s="21" t="inlineStr">
        <is>
          <t>Scenario</t>
        </is>
      </c>
      <c r="C18" s="21" t="inlineStr">
        <is>
          <t>Change one scenario assumption</t>
        </is>
      </c>
      <c r="D18" s="21" t="inlineStr">
        <is>
          <t>Baseline remains unchanged; scenario output shows delta and assumptions</t>
        </is>
      </c>
      <c r="E18" s="21" t="inlineStr">
        <is>
          <t>Regression</t>
        </is>
      </c>
      <c r="F18" s="21" t="inlineStr">
        <is>
          <t>Medium</t>
        </is>
      </c>
      <c r="G18" s="21" t="inlineStr"/>
      <c r="H18" s="21" t="inlineStr">
        <is>
          <t>Not Started</t>
        </is>
      </c>
      <c r="I18" s="21" t="inlineStr"/>
      <c r="J18" s="21" t="inlineStr"/>
    </row>
    <row r="19" ht="50" customHeight="1">
      <c r="A19" s="17" t="inlineStr">
        <is>
          <t>TC015</t>
        </is>
      </c>
      <c r="B19" s="17" t="inlineStr">
        <is>
          <t>Deployment</t>
        </is>
      </c>
      <c r="C19" s="17" t="inlineStr">
        <is>
          <t>Deploy to staging and verify health/backup/logs</t>
        </is>
      </c>
      <c r="D19" s="17" t="inlineStr">
        <is>
          <t>App is reachable; secrets absent from repo; backup/restore plan documented</t>
        </is>
      </c>
      <c r="E19" s="17" t="inlineStr">
        <is>
          <t>Operational</t>
        </is>
      </c>
      <c r="F19" s="17" t="inlineStr">
        <is>
          <t>High</t>
        </is>
      </c>
      <c r="G19" s="17" t="inlineStr"/>
      <c r="H19" s="17" t="inlineStr">
        <is>
          <t>Not Started</t>
        </is>
      </c>
      <c r="I19" s="17" t="inlineStr"/>
      <c r="J19" s="17" t="inlineStr"/>
    </row>
  </sheetData>
  <autoFilter ref="A4:J19"/>
  <mergeCells count="2">
    <mergeCell ref="A2:H2"/>
    <mergeCell ref="A1:H1"/>
  </mergeCells>
  <dataValidations count="1">
    <dataValidation sqref="H5:H19" showDropDown="0" showInputMessage="0" showErrorMessage="0" allowBlank="1" type="list">
      <formula1>"Not Started,In Progress,Pass,Fail,Blocked,Not Applicable"</formula1>
    </dataValidation>
  </dataValidations>
  <pageMargins left="0.25" right="0.2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48" customWidth="1" min="3" max="3"/>
    <col width="60" customWidth="1" min="4" max="4"/>
    <col width="22" customWidth="1" min="5" max="5"/>
    <col width="26" customWidth="1" min="6" max="6"/>
  </cols>
  <sheetData>
    <row r="1" ht="30" customHeight="1">
      <c r="A1" s="1" t="inlineStr">
        <is>
          <t>RECOMMENDED TECH STACK &amp; ARCHITECTURE DECISIONS</t>
        </is>
      </c>
    </row>
    <row r="2" ht="32" customHeight="1">
      <c r="A2" s="2" t="inlineStr">
        <is>
          <t>Proposed baseline, not a vendor commitment. Confirm with Monkspaces standards, client security and hosting constraints.</t>
        </is>
      </c>
    </row>
    <row r="3"/>
    <row r="4" ht="32" customHeight="1">
      <c r="A4" s="15" t="inlineStr">
        <is>
          <t>Layer</t>
        </is>
      </c>
      <c r="B4" s="15" t="inlineStr">
        <is>
          <t>Recommendation</t>
        </is>
      </c>
      <c r="C4" s="15" t="inlineStr">
        <is>
          <t>Purpose</t>
        </is>
      </c>
      <c r="D4" s="15" t="inlineStr">
        <is>
          <t>MVP decision / guidance</t>
        </is>
      </c>
      <c r="E4" s="15" t="inlineStr">
        <is>
          <t>Status</t>
        </is>
      </c>
      <c r="F4" s="15" t="inlineStr">
        <is>
          <t>Owner / notes</t>
        </is>
      </c>
    </row>
    <row r="5" ht="56" customHeight="1">
      <c r="A5" s="17" t="inlineStr">
        <is>
          <t>Frontend</t>
        </is>
      </c>
      <c r="B5" s="17" t="inlineStr">
        <is>
          <t>Angular + TypeScript</t>
        </is>
      </c>
      <c r="C5" s="17" t="inlineStr">
        <is>
          <t>Enterprise UI for product data, issue workflow, EPR results and dashboards</t>
        </is>
      </c>
      <c r="D5" s="17" t="inlineStr">
        <is>
          <t>Use existing team expertise; define API contracts early</t>
        </is>
      </c>
      <c r="E5" s="17" t="inlineStr">
        <is>
          <t>Proposed</t>
        </is>
      </c>
      <c r="F5" s="17" t="inlineStr">
        <is>
          <t>Frontend Lead</t>
        </is>
      </c>
    </row>
    <row r="6" ht="56" customHeight="1">
      <c r="A6" s="21" t="inlineStr">
        <is>
          <t>Backend API</t>
        </is>
      </c>
      <c r="B6" s="21" t="inlineStr">
        <is>
          <t>Python + FastAPI</t>
        </is>
      </c>
      <c r="C6" s="21" t="inlineStr">
        <is>
          <t>REST APIs, validation and calculation logic; OpenAPI contracts</t>
        </is>
      </c>
      <c r="D6" s="21" t="inlineStr">
        <is>
          <t>Modular monolith; separate modules in code, not separate microservices initially</t>
        </is>
      </c>
      <c r="E6" s="21" t="inlineStr">
        <is>
          <t>Proposed</t>
        </is>
      </c>
      <c r="F6" s="21" t="inlineStr">
        <is>
          <t>Backend Lead</t>
        </is>
      </c>
    </row>
    <row r="7" ht="56" customHeight="1">
      <c r="A7" s="17" t="inlineStr">
        <is>
          <t>Database</t>
        </is>
      </c>
      <c r="B7" s="17" t="inlineStr">
        <is>
          <t>PostgreSQL</t>
        </is>
      </c>
      <c r="C7" s="17" t="inlineStr">
        <is>
          <t>Relational canonical product/packaging data, workflow, rule versions and calculation history</t>
        </is>
      </c>
      <c r="D7" s="17" t="inlineStr">
        <is>
          <t>Keep filterable/joinable fields relational; use JSONB only for truly variable attributes</t>
        </is>
      </c>
      <c r="E7" s="17" t="inlineStr">
        <is>
          <t>Proposed</t>
        </is>
      </c>
      <c r="F7" s="17" t="inlineStr">
        <is>
          <t>Solution Architect</t>
        </is>
      </c>
    </row>
    <row r="8" ht="56" customHeight="1">
      <c r="A8" s="21" t="inlineStr">
        <is>
          <t>File/evidence storage</t>
        </is>
      </c>
      <c r="B8" s="21" t="inlineStr">
        <is>
          <t>S3-compatible object storage or Azure Blob</t>
        </is>
      </c>
      <c r="C8" s="21" t="inlineStr">
        <is>
          <t>Store source files, evidence and generated exports</t>
        </is>
      </c>
      <c r="D8" s="21" t="inlineStr">
        <is>
          <t>Use private buckets, encryption and retention controls</t>
        </is>
      </c>
      <c r="E8" s="21" t="inlineStr">
        <is>
          <t>To Confirm</t>
        </is>
      </c>
      <c r="F8" s="21" t="inlineStr">
        <is>
          <t>DevOps / Security</t>
        </is>
      </c>
    </row>
    <row r="9" ht="56" customHeight="1">
      <c r="A9" s="17" t="inlineStr">
        <is>
          <t>Identity</t>
        </is>
      </c>
      <c r="B9" s="17" t="inlineStr">
        <is>
          <t>OIDC/OAuth2 using approved provider</t>
        </is>
      </c>
      <c r="C9" s="17" t="inlineStr">
        <is>
          <t>Authentication and role claims</t>
        </is>
      </c>
      <c r="D9" s="17" t="inlineStr">
        <is>
          <t>Prefer existing company/client identity where feasible; never implement custom password handling for MVP</t>
        </is>
      </c>
      <c r="E9" s="17" t="inlineStr">
        <is>
          <t>To Confirm</t>
        </is>
      </c>
      <c r="F9" s="17" t="inlineStr">
        <is>
          <t>Security / Client IT</t>
        </is>
      </c>
    </row>
    <row r="10" ht="56" customHeight="1">
      <c r="A10" s="21" t="inlineStr">
        <is>
          <t>Tenant isolation</t>
        </is>
      </c>
      <c r="B10" s="21" t="inlineStr">
        <is>
          <t>organization_id + enforced DB/API access controls</t>
        </is>
      </c>
      <c r="C10" s="21" t="inlineStr">
        <is>
          <t>Keep each customer's records isolated</t>
        </is>
      </c>
      <c r="D10" s="21" t="inlineStr">
        <is>
          <t>Review PostgreSQL row-level security and negative cross-tenant tests</t>
        </is>
      </c>
      <c r="E10" s="21" t="inlineStr">
        <is>
          <t>Design decision needed</t>
        </is>
      </c>
      <c r="F10" s="21" t="inlineStr">
        <is>
          <t>Solution Architect</t>
        </is>
      </c>
    </row>
    <row r="11" ht="56" customHeight="1">
      <c r="A11" s="17" t="inlineStr">
        <is>
          <t>Data ingestion</t>
        </is>
      </c>
      <c r="B11" s="17" t="inlineStr">
        <is>
          <t>CSV/Excel first; then one read-only API connector</t>
        </is>
      </c>
      <c r="C11" s="17" t="inlineStr">
        <is>
          <t>Unblock data model while source APIs are assessed</t>
        </is>
      </c>
      <c r="D11" s="17" t="inlineStr">
        <is>
          <t>Do not promise bidirectional sync until source capabilities and permissions are verified</t>
        </is>
      </c>
      <c r="E11" s="17" t="inlineStr">
        <is>
          <t>Proposed</t>
        </is>
      </c>
      <c r="F11" s="17" t="inlineStr">
        <is>
          <t>Integration Lead</t>
        </is>
      </c>
    </row>
    <row r="12" ht="56" customHeight="1">
      <c r="A12" s="21" t="inlineStr">
        <is>
          <t>Testing</t>
        </is>
      </c>
      <c r="B12" s="21" t="inlineStr">
        <is>
          <t>pytest + API integration tests; Angular unit/E2E framework</t>
        </is>
      </c>
      <c r="C12" s="21" t="inlineStr">
        <is>
          <t>Catch regressions and validate calculations</t>
        </is>
      </c>
      <c r="D12" s="21" t="inlineStr">
        <is>
          <t>Tests run in CI; EPR reference cases require SME-approved expected values</t>
        </is>
      </c>
      <c r="E12" s="21" t="inlineStr">
        <is>
          <t>Proposed</t>
        </is>
      </c>
      <c r="F12" s="21" t="inlineStr">
        <is>
          <t>QA Lead</t>
        </is>
      </c>
    </row>
    <row r="13" ht="56" customHeight="1">
      <c r="A13" s="17" t="inlineStr">
        <is>
          <t>CI/CD</t>
        </is>
      </c>
      <c r="B13" s="17" t="inlineStr">
        <is>
          <t>GitHub Actions or Azure DevOps</t>
        </is>
      </c>
      <c r="C13" s="17" t="inlineStr">
        <is>
          <t>Build, lint, test and deploy repeatably</t>
        </is>
      </c>
      <c r="D13" s="17" t="inlineStr">
        <is>
          <t>Use whichever is approved by company</t>
        </is>
      </c>
      <c r="E13" s="17" t="inlineStr">
        <is>
          <t>To Confirm</t>
        </is>
      </c>
      <c r="F13" s="17" t="inlineStr">
        <is>
          <t>DevOps</t>
        </is>
      </c>
    </row>
    <row r="14" ht="56" customHeight="1">
      <c r="A14" s="21" t="inlineStr">
        <is>
          <t>Runtime/deployment</t>
        </is>
      </c>
      <c r="B14" s="21" t="inlineStr">
        <is>
          <t>Docker + managed application hosting</t>
        </is>
      </c>
      <c r="C14" s="21" t="inlineStr">
        <is>
          <t>Consistent dev/test/staging environments</t>
        </is>
      </c>
      <c r="D14" s="21" t="inlineStr">
        <is>
          <t>Kubernetes is not required for first MVP; choose managed services after cloud/security review</t>
        </is>
      </c>
      <c r="E14" s="21" t="inlineStr">
        <is>
          <t>To Confirm</t>
        </is>
      </c>
      <c r="F14" s="21" t="inlineStr">
        <is>
          <t>DevOps</t>
        </is>
      </c>
    </row>
    <row r="15" ht="56" customHeight="1">
      <c r="A15" s="17" t="inlineStr">
        <is>
          <t>Observability</t>
        </is>
      </c>
      <c r="B15" s="17" t="inlineStr">
        <is>
          <t>Structured logs, health checks, cloud metrics</t>
        </is>
      </c>
      <c r="C15" s="17" t="inlineStr">
        <is>
          <t>Diagnose failed imports, API errors and calculation runs</t>
        </is>
      </c>
      <c r="D15" s="17" t="inlineStr">
        <is>
          <t>Do not log secrets or unnecessary client data</t>
        </is>
      </c>
      <c r="E15" s="17" t="inlineStr">
        <is>
          <t>Proposed</t>
        </is>
      </c>
      <c r="F15" s="17" t="inlineStr">
        <is>
          <t>Backend / DevOps</t>
        </is>
      </c>
    </row>
    <row r="16" ht="56" customHeight="1">
      <c r="A16" s="21" t="inlineStr">
        <is>
          <t>Regulatory logic</t>
        </is>
      </c>
      <c r="B16" s="21" t="inlineStr">
        <is>
          <t>Versioned jurisdiction-specific rule sets</t>
        </is>
      </c>
      <c r="C16" s="21" t="inlineStr">
        <is>
          <t>Reproducible fee calculations and effective dates</t>
        </is>
      </c>
      <c r="D16" s="21" t="inlineStr">
        <is>
          <t>SME approval and regression cases are mandatory; no universal EPR formula assumed</t>
        </is>
      </c>
      <c r="E16" s="21" t="inlineStr">
        <is>
          <t>Required</t>
        </is>
      </c>
      <c r="F16" s="21" t="inlineStr">
        <is>
          <t>Product Owner / Regulatory SME</t>
        </is>
      </c>
    </row>
  </sheetData>
  <autoFilter ref="A4:F16"/>
  <mergeCells count="2">
    <mergeCell ref="A2:H2"/>
    <mergeCell ref="A1:H1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2026-10-26T10:07:47Z</dcterms:created>
  <dcterms:modified xmlns:dcterms="http://purl.org/dc/terms/" xmlns:xsi="http://www.w3.org/2001/XMLSchema-instance" xsi:type="dcterms:W3CDTF">2026-10-26T10:07:47Z</dcterms:modified>
</cp:coreProperties>
</file>